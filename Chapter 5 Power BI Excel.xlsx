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volatileDependencies.xml" ContentType="application/vnd.openxmlformats-officedocument.spreadsheetml.volatileDependenc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1e7d286eb283691/Power BI Finance/Data Files/"/>
    </mc:Choice>
  </mc:AlternateContent>
  <xr:revisionPtr revIDLastSave="450" documentId="13_ncr:1_{F3447B6E-39BC-4296-9295-2FE6FB52B54E}" xr6:coauthVersionLast="47" xr6:coauthVersionMax="47" xr10:uidLastSave="{4638EF7B-9A9A-48A3-BB4B-82AEEBA7E47F}"/>
  <bookViews>
    <workbookView xWindow="-110" yWindow="-110" windowWidth="38620" windowHeight="21100" xr2:uid="{00000000-000D-0000-FFFF-FFFF00000000}"/>
  </bookViews>
  <sheets>
    <sheet name="Chapter 5 Financial Reporti (2)" sheetId="4" r:id="rId1"/>
    <sheet name="Chapter 5 Scenario P" sheetId="3" r:id="rId2"/>
    <sheet name="Chapter 5 Scenario F" sheetId="2" r:id="rId3"/>
    <sheet name="Chapter 5 Time P" sheetId="6" r:id="rId4"/>
    <sheet name="Chapter 5 Time P (2)" sheetId="7" r:id="rId5"/>
    <sheet name="Chapter 5 Financial Reporting D" sheetId="1" r:id="rId6"/>
  </sheets>
  <definedNames>
    <definedName name="Actuals">'Chapter 5 Financial Reporting D'!$C$9,'Chapter 5 Financial Reporting D'!$F$9,'Chapter 5 Financial Reporting D'!$I$9,'Chapter 5 Financial Reporting D'!$L$9,'Chapter 5 Financial Reporting D'!$O$9</definedName>
    <definedName name="ActualsAll">'Chapter 5 Financial Reporting D'!$C$10:$C$22,'Chapter 5 Financial Reporting D'!$F$10:$F$22,'Chapter 5 Financial Reporting D'!$I$10:$I$22,'Chapter 5 Financial Reporting D'!$L$10:$L$22,'Chapter 5 Financial Reporting D'!$O$10:$O$22</definedName>
  </definedNames>
  <calcPr calcId="191028"/>
  <pivotCaches>
    <pivotCache cacheId="46" r:id="rId7"/>
    <pivotCache cacheId="49" r:id="rId8"/>
    <pivotCache cacheId="50" r:id="rId9"/>
    <pivotCache cacheId="53" r:id="rId10"/>
    <pivotCache cacheId="56" r:id="rId11"/>
    <pivotCache cacheId="59" r:id="rId12"/>
    <pivotCache cacheId="66" r:id="rId1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7" l="1"/>
  <c r="H8" i="7"/>
  <c r="B27" i="7"/>
  <c r="B18" i="7"/>
  <c r="B13" i="7"/>
  <c r="G8" i="7"/>
  <c r="E8" i="7"/>
  <c r="U8" i="7"/>
  <c r="Q7" i="7"/>
  <c r="M7" i="7"/>
  <c r="M8" i="7"/>
  <c r="K8" i="7"/>
  <c r="K18" i="7" s="1"/>
  <c r="B12" i="7"/>
  <c r="F8" i="7"/>
  <c r="F27" i="7" s="1"/>
  <c r="U12" i="7"/>
  <c r="B11" i="7"/>
  <c r="B29" i="7"/>
  <c r="B28" i="7"/>
  <c r="H13" i="7"/>
  <c r="B24" i="7"/>
  <c r="B19" i="7"/>
  <c r="U27" i="7"/>
  <c r="K29" i="7"/>
  <c r="M28" i="7"/>
  <c r="U24" i="7"/>
  <c r="V8" i="7"/>
  <c r="S7" i="7"/>
  <c r="V19" i="7"/>
  <c r="U18" i="7"/>
  <c r="K11" i="7"/>
  <c r="G7" i="7"/>
  <c r="H11" i="7"/>
  <c r="E24" i="7"/>
  <c r="L8" i="7"/>
  <c r="J8" i="7"/>
  <c r="J18" i="7" s="1"/>
  <c r="I8" i="7"/>
  <c r="J29" i="7"/>
  <c r="L28" i="7"/>
  <c r="F19" i="7"/>
  <c r="H18" i="7"/>
  <c r="V11" i="7"/>
  <c r="B34" i="7"/>
  <c r="B10" i="7"/>
  <c r="D8" i="7"/>
  <c r="D28" i="7" s="1"/>
  <c r="AB7" i="7"/>
  <c r="I27" i="7"/>
  <c r="M13" i="7"/>
  <c r="W8" i="7"/>
  <c r="D29" i="7"/>
  <c r="R10" i="7"/>
  <c r="M24" i="7"/>
  <c r="W19" i="7"/>
  <c r="I14" i="7"/>
  <c r="T8" i="7"/>
  <c r="G14" i="7"/>
  <c r="S8" i="7"/>
  <c r="M10" i="7"/>
  <c r="T29" i="7"/>
  <c r="V27" i="7"/>
  <c r="F11" i="7"/>
  <c r="W13" i="7"/>
  <c r="W34" i="7"/>
  <c r="I29" i="7"/>
  <c r="K28" i="7"/>
  <c r="M27" i="7"/>
  <c r="S24" i="7"/>
  <c r="E19" i="7"/>
  <c r="G18" i="7"/>
  <c r="S12" i="7"/>
  <c r="U11" i="7"/>
  <c r="W10" i="7"/>
  <c r="B33" i="7"/>
  <c r="B9" i="7"/>
  <c r="C8" i="7"/>
  <c r="Z8" i="7"/>
  <c r="K14" i="7"/>
  <c r="S10" i="7"/>
  <c r="H27" i="7"/>
  <c r="L13" i="7"/>
  <c r="U7" i="7"/>
  <c r="G27" i="7"/>
  <c r="M12" i="7"/>
  <c r="L24" i="7"/>
  <c r="J13" i="7"/>
  <c r="W18" i="7"/>
  <c r="M11" i="7"/>
  <c r="F14" i="7"/>
  <c r="Q8" i="7"/>
  <c r="J34" i="7"/>
  <c r="E7" i="7"/>
  <c r="U28" i="7"/>
  <c r="I10" i="7"/>
  <c r="Q29" i="7"/>
  <c r="B17" i="7"/>
  <c r="L19" i="7"/>
  <c r="B16" i="7"/>
  <c r="B15" i="7"/>
  <c r="V34" i="7"/>
  <c r="H29" i="7"/>
  <c r="J28" i="7"/>
  <c r="L27" i="7"/>
  <c r="AB19" i="7"/>
  <c r="D19" i="7"/>
  <c r="F18" i="7"/>
  <c r="H17" i="7"/>
  <c r="J16" i="7"/>
  <c r="L15" i="7"/>
  <c r="T11" i="7"/>
  <c r="V10" i="7"/>
  <c r="B32" i="7"/>
  <c r="C17" i="7"/>
  <c r="S9" i="7"/>
  <c r="H14" i="7"/>
  <c r="S32" i="7"/>
  <c r="D27" i="7"/>
  <c r="D15" i="7"/>
  <c r="R8" i="7"/>
  <c r="E14" i="7"/>
  <c r="K7" i="7"/>
  <c r="B21" i="7"/>
  <c r="V28" i="7"/>
  <c r="R18" i="7"/>
  <c r="F12" i="7"/>
  <c r="I34" i="7"/>
  <c r="G11" i="7"/>
  <c r="R17" i="7"/>
  <c r="D12" i="7"/>
  <c r="G34" i="7"/>
  <c r="E11" i="7"/>
  <c r="H9" i="7"/>
  <c r="I32" i="7"/>
  <c r="Q16" i="7"/>
  <c r="U34" i="7"/>
  <c r="W33" i="7"/>
  <c r="G29" i="7"/>
  <c r="I28" i="7"/>
  <c r="K27" i="7"/>
  <c r="Q24" i="7"/>
  <c r="W21" i="7"/>
  <c r="C19" i="7"/>
  <c r="E18" i="7"/>
  <c r="G17" i="7"/>
  <c r="I16" i="7"/>
  <c r="K15" i="7"/>
  <c r="M14" i="7"/>
  <c r="Q12" i="7"/>
  <c r="S11" i="7"/>
  <c r="U10" i="7"/>
  <c r="W9" i="7"/>
  <c r="B31" i="7"/>
  <c r="Y8" i="7"/>
  <c r="AA7" i="7"/>
  <c r="U33" i="7"/>
  <c r="E29" i="7"/>
  <c r="E17" i="7"/>
  <c r="I15" i="7"/>
  <c r="W7" i="7"/>
  <c r="AB29" i="7"/>
  <c r="Q34" i="7"/>
  <c r="AA17" i="7"/>
  <c r="Q10" i="7"/>
  <c r="R21" i="7"/>
  <c r="AB16" i="7"/>
  <c r="B26" i="7"/>
  <c r="AA28" i="7"/>
  <c r="K24" i="7"/>
  <c r="C16" i="7"/>
  <c r="Q9" i="7"/>
  <c r="AB15" i="7"/>
  <c r="G13" i="7"/>
  <c r="L33" i="7"/>
  <c r="L21" i="7"/>
  <c r="B20" i="7"/>
  <c r="S17" i="7"/>
  <c r="C7" i="7"/>
  <c r="Z13" i="7"/>
  <c r="I33" i="7"/>
  <c r="C24" i="7"/>
  <c r="C12" i="7"/>
  <c r="H21" i="7"/>
  <c r="F10" i="7"/>
  <c r="U26" i="7"/>
  <c r="M18" i="7"/>
  <c r="AA11" i="7"/>
  <c r="T34" i="7"/>
  <c r="V33" i="7"/>
  <c r="Z31" i="7"/>
  <c r="F29" i="7"/>
  <c r="H28" i="7"/>
  <c r="J27" i="7"/>
  <c r="L26" i="7"/>
  <c r="V21" i="7"/>
  <c r="Z19" i="7"/>
  <c r="AB18" i="7"/>
  <c r="D18" i="7"/>
  <c r="F17" i="7"/>
  <c r="H16" i="7"/>
  <c r="J15" i="7"/>
  <c r="L14" i="7"/>
  <c r="R11" i="7"/>
  <c r="T10" i="7"/>
  <c r="V9" i="7"/>
  <c r="B30" i="7"/>
  <c r="X8" i="7"/>
  <c r="Y7" i="7"/>
  <c r="S34" i="7"/>
  <c r="G28" i="7"/>
  <c r="Y19" i="7"/>
  <c r="G16" i="7"/>
  <c r="Q11" i="7"/>
  <c r="X31" i="7"/>
  <c r="F28" i="7"/>
  <c r="Z18" i="7"/>
  <c r="J14" i="7"/>
  <c r="T9" i="7"/>
  <c r="S33" i="7"/>
  <c r="K13" i="7"/>
  <c r="V31" i="7"/>
  <c r="H26" i="7"/>
  <c r="Z17" i="7"/>
  <c r="L12" i="7"/>
  <c r="W30" i="7"/>
  <c r="U19" i="7"/>
  <c r="B25" i="7"/>
  <c r="AB27" i="7"/>
  <c r="J24" i="7"/>
  <c r="X17" i="7"/>
  <c r="L11" i="7"/>
  <c r="M34" i="7"/>
  <c r="S19" i="7"/>
  <c r="B23" i="7"/>
  <c r="X27" i="7"/>
  <c r="X15" i="7"/>
  <c r="D13" i="7"/>
  <c r="N8" i="7"/>
  <c r="M32" i="7"/>
  <c r="G23" i="7"/>
  <c r="E12" i="7"/>
  <c r="J33" i="7"/>
  <c r="V15" i="7"/>
  <c r="S28" i="7"/>
  <c r="E23" i="7"/>
  <c r="AA12" i="7"/>
  <c r="G10" i="7"/>
  <c r="F34" i="7"/>
  <c r="AB23" i="7"/>
  <c r="X13" i="7"/>
  <c r="M30" i="7"/>
  <c r="G21" i="7"/>
  <c r="G9" i="7"/>
  <c r="F16" i="7"/>
  <c r="F15" i="7"/>
  <c r="E27" i="7"/>
  <c r="I25" i="7"/>
  <c r="M23" i="7"/>
  <c r="AA16" i="7"/>
  <c r="K12" i="7"/>
  <c r="O7" i="7"/>
  <c r="T31" i="7"/>
  <c r="N10" i="7"/>
  <c r="Q32" i="7"/>
  <c r="Y16" i="7"/>
  <c r="F24" i="7"/>
  <c r="J10" i="7"/>
  <c r="Y26" i="7"/>
  <c r="K21" i="7"/>
  <c r="AA13" i="7"/>
  <c r="K9" i="7"/>
  <c r="H34" i="7"/>
  <c r="D24" i="7"/>
  <c r="AB12" i="7"/>
  <c r="M31" i="7"/>
  <c r="AA24" i="7"/>
  <c r="Y13" i="7"/>
  <c r="R28" i="7"/>
  <c r="Z24" i="7"/>
  <c r="T15" i="7"/>
  <c r="Q28" i="7"/>
  <c r="U14" i="7"/>
  <c r="E10" i="7"/>
  <c r="L34" i="7"/>
  <c r="N33" i="7"/>
  <c r="R31" i="7"/>
  <c r="T30" i="7"/>
  <c r="V29" i="7"/>
  <c r="X28" i="7"/>
  <c r="Z27" i="7"/>
  <c r="AB26" i="7"/>
  <c r="D26" i="7"/>
  <c r="F25" i="7"/>
  <c r="H24" i="7"/>
  <c r="J23" i="7"/>
  <c r="N21" i="7"/>
  <c r="R19" i="7"/>
  <c r="T18" i="7"/>
  <c r="V17" i="7"/>
  <c r="X16" i="7"/>
  <c r="Z15" i="7"/>
  <c r="AB14" i="7"/>
  <c r="D14" i="7"/>
  <c r="F13" i="7"/>
  <c r="H12" i="7"/>
  <c r="J11" i="7"/>
  <c r="L10" i="7"/>
  <c r="N9" i="7"/>
  <c r="B22" i="7"/>
  <c r="P8" i="7"/>
  <c r="I7" i="7"/>
  <c r="K34" i="7"/>
  <c r="M33" i="7"/>
  <c r="Q31" i="7"/>
  <c r="S30" i="7"/>
  <c r="U29" i="7"/>
  <c r="W28" i="7"/>
  <c r="Y27" i="7"/>
  <c r="AA26" i="7"/>
  <c r="C26" i="7"/>
  <c r="E25" i="7"/>
  <c r="G24" i="7"/>
  <c r="I23" i="7"/>
  <c r="K22" i="7"/>
  <c r="M21" i="7"/>
  <c r="Q19" i="7"/>
  <c r="S18" i="7"/>
  <c r="U17" i="7"/>
  <c r="W16" i="7"/>
  <c r="Y15" i="7"/>
  <c r="AA14" i="7"/>
  <c r="C14" i="7"/>
  <c r="E13" i="7"/>
  <c r="G12" i="7"/>
  <c r="I11" i="7"/>
  <c r="K10" i="7"/>
  <c r="M9" i="7"/>
  <c r="O8" i="7"/>
  <c r="O10" i="7" s="1"/>
  <c r="Z26" i="7"/>
  <c r="AB13" i="7"/>
  <c r="S29" i="7"/>
  <c r="U16" i="7"/>
  <c r="N31" i="7"/>
  <c r="X14" i="7"/>
  <c r="O30" i="7"/>
  <c r="K20" i="7"/>
  <c r="V26" i="7"/>
  <c r="R16" i="7"/>
  <c r="S27" i="7"/>
  <c r="O17" i="7"/>
  <c r="C11" i="7"/>
  <c r="C8" i="1"/>
  <c r="C6" i="2"/>
  <c r="B15" i="2"/>
  <c r="M8" i="1"/>
  <c r="B34" i="2"/>
  <c r="B22" i="1"/>
  <c r="B39" i="2"/>
  <c r="B37" i="4"/>
  <c r="B37" i="2"/>
  <c r="B24" i="4"/>
  <c r="B18" i="2"/>
  <c r="I8" i="1"/>
  <c r="B13" i="4"/>
  <c r="B9" i="4"/>
  <c r="C6" i="4"/>
  <c r="B13" i="1"/>
  <c r="B28" i="4"/>
  <c r="B14" i="1"/>
  <c r="F7" i="1"/>
  <c r="S7" i="1"/>
  <c r="B19" i="2"/>
  <c r="B11" i="2"/>
  <c r="C11" i="2" s="1"/>
  <c r="B7" i="4"/>
  <c r="B18" i="1"/>
  <c r="B23" i="2"/>
  <c r="B19" i="1"/>
  <c r="B31" i="4"/>
  <c r="B25" i="4"/>
  <c r="B17" i="1"/>
  <c r="B10" i="1"/>
  <c r="B38" i="2"/>
  <c r="B22" i="4"/>
  <c r="D6" i="2"/>
  <c r="C22" i="4"/>
  <c r="O8" i="1"/>
  <c r="B32" i="4"/>
  <c r="C32" i="4" s="1"/>
  <c r="B27" i="2"/>
  <c r="C27" i="2" s="1"/>
  <c r="D11" i="2"/>
  <c r="L8" i="1"/>
  <c r="B8" i="4"/>
  <c r="B35" i="2"/>
  <c r="B20" i="2"/>
  <c r="D20" i="2" s="1"/>
  <c r="B21" i="4"/>
  <c r="B15" i="4"/>
  <c r="L7" i="1"/>
  <c r="B18" i="4"/>
  <c r="C25" i="4"/>
  <c r="B36" i="2"/>
  <c r="P7" i="1"/>
  <c r="B29" i="4"/>
  <c r="D8" i="1"/>
  <c r="B32" i="2"/>
  <c r="B28" i="2"/>
  <c r="D28" i="2" s="1"/>
  <c r="B17" i="4"/>
  <c r="C23" i="2"/>
  <c r="D18" i="2"/>
  <c r="B25" i="2"/>
  <c r="C25" i="2" s="1"/>
  <c r="B16" i="2"/>
  <c r="B16" i="4"/>
  <c r="C16" i="4" s="1"/>
  <c r="O7" i="1"/>
  <c r="C38" i="2"/>
  <c r="C20" i="2"/>
  <c r="B23" i="4"/>
  <c r="C23" i="4"/>
  <c r="F8" i="1"/>
  <c r="L10" i="1"/>
  <c r="B15" i="1"/>
  <c r="B12" i="1"/>
  <c r="B35" i="4"/>
  <c r="C35" i="4" s="1"/>
  <c r="B17" i="2"/>
  <c r="B14" i="4"/>
  <c r="C15" i="2"/>
  <c r="C28" i="2"/>
  <c r="D16" i="2"/>
  <c r="B9" i="1"/>
  <c r="R7" i="1"/>
  <c r="P8" i="1"/>
  <c r="B31" i="2"/>
  <c r="I7" i="1"/>
  <c r="P12" i="1"/>
  <c r="F22" i="1"/>
  <c r="B38" i="4"/>
  <c r="B19" i="4"/>
  <c r="O12" i="1"/>
  <c r="B22" i="2"/>
  <c r="B24" i="2"/>
  <c r="C38" i="4"/>
  <c r="B21" i="2"/>
  <c r="D21" i="2" s="1"/>
  <c r="B12" i="2"/>
  <c r="C28" i="4"/>
  <c r="O22" i="1"/>
  <c r="C18" i="4"/>
  <c r="P15" i="1"/>
  <c r="B30" i="4"/>
  <c r="I22" i="1"/>
  <c r="B12" i="4"/>
  <c r="C21" i="2"/>
  <c r="L13" i="1"/>
  <c r="B26" i="2"/>
  <c r="C15" i="4"/>
  <c r="C7" i="1"/>
  <c r="C19" i="2"/>
  <c r="O17" i="1"/>
  <c r="D37" i="2"/>
  <c r="J7" i="1"/>
  <c r="L19" i="1"/>
  <c r="I17" i="1"/>
  <c r="D38" i="2"/>
  <c r="B30" i="2"/>
  <c r="B20" i="1"/>
  <c r="O10" i="1"/>
  <c r="P19" i="1"/>
  <c r="D32" i="2"/>
  <c r="B21" i="1"/>
  <c r="B26" i="4"/>
  <c r="C26" i="4" s="1"/>
  <c r="F12" i="1"/>
  <c r="P22" i="1"/>
  <c r="B33" i="2"/>
  <c r="B7" i="2"/>
  <c r="D36" i="2"/>
  <c r="C24" i="4"/>
  <c r="L12" i="1"/>
  <c r="B16" i="1"/>
  <c r="B11" i="4"/>
  <c r="C16" i="2"/>
  <c r="B11" i="1"/>
  <c r="P17" i="1"/>
  <c r="B10" i="4"/>
  <c r="C10" i="4" s="1"/>
  <c r="B34" i="4"/>
  <c r="B33" i="4"/>
  <c r="J8" i="1"/>
  <c r="D30" i="2"/>
  <c r="B8" i="2"/>
  <c r="C9" i="1"/>
  <c r="C36" i="2"/>
  <c r="D24" i="2"/>
  <c r="J20" i="1"/>
  <c r="C31" i="4"/>
  <c r="B29" i="2"/>
  <c r="D29" i="2" s="1"/>
  <c r="F13" i="1"/>
  <c r="G8" i="1"/>
  <c r="L17" i="1"/>
  <c r="F20" i="1"/>
  <c r="O15" i="1"/>
  <c r="C39" i="2"/>
  <c r="B36" i="4"/>
  <c r="C32" i="2"/>
  <c r="F18" i="1"/>
  <c r="F21" i="1"/>
  <c r="C13" i="1"/>
  <c r="F9" i="1"/>
  <c r="I12" i="1"/>
  <c r="I21" i="1"/>
  <c r="C37" i="2"/>
  <c r="B27" i="4"/>
  <c r="B14" i="2"/>
  <c r="O16" i="1"/>
  <c r="B10" i="2"/>
  <c r="D10" i="2" s="1"/>
  <c r="C18" i="2"/>
  <c r="C21" i="4"/>
  <c r="J14" i="1"/>
  <c r="F10" i="1"/>
  <c r="P9" i="1"/>
  <c r="D34" i="2"/>
  <c r="I10" i="1"/>
  <c r="D27" i="2"/>
  <c r="B9" i="2"/>
  <c r="C9" i="2"/>
  <c r="B20" i="4"/>
  <c r="C7" i="4"/>
  <c r="D6" i="4"/>
  <c r="D8" i="4"/>
  <c r="O9" i="1"/>
  <c r="J10" i="1"/>
  <c r="L9" i="1"/>
  <c r="C34" i="2"/>
  <c r="I15" i="1"/>
  <c r="D9" i="2"/>
  <c r="C21" i="1"/>
  <c r="C34" i="4"/>
  <c r="C17" i="4"/>
  <c r="C10" i="2"/>
  <c r="C8" i="4"/>
  <c r="C24" i="2"/>
  <c r="C11" i="4"/>
  <c r="C29" i="4"/>
  <c r="D25" i="2"/>
  <c r="C9" i="4"/>
  <c r="C27" i="4"/>
  <c r="I13" i="1"/>
  <c r="O13" i="1"/>
  <c r="C19" i="1"/>
  <c r="O19" i="1"/>
  <c r="D23" i="2"/>
  <c r="D19" i="2"/>
  <c r="D15" i="2"/>
  <c r="D39" i="2"/>
  <c r="L14" i="1"/>
  <c r="L18" i="1"/>
  <c r="L22" i="1"/>
  <c r="C35" i="2"/>
  <c r="D35" i="2"/>
  <c r="O18" i="1"/>
  <c r="O14" i="1"/>
  <c r="F14" i="1"/>
  <c r="F19" i="1"/>
  <c r="F15" i="1"/>
  <c r="C15" i="1"/>
  <c r="L15" i="1"/>
  <c r="J12" i="1"/>
  <c r="C12" i="1"/>
  <c r="D17" i="2"/>
  <c r="C17" i="2"/>
  <c r="D14" i="4"/>
  <c r="C14" i="4"/>
  <c r="I9" i="1"/>
  <c r="J9" i="1"/>
  <c r="P13" i="1"/>
  <c r="P18" i="1"/>
  <c r="P14" i="1"/>
  <c r="P10" i="1"/>
  <c r="C31" i="2"/>
  <c r="D31" i="2"/>
  <c r="I14" i="1"/>
  <c r="I19" i="1"/>
  <c r="I18" i="1"/>
  <c r="D19" i="4"/>
  <c r="D22" i="2"/>
  <c r="C22" i="2"/>
  <c r="C12" i="2"/>
  <c r="D12" i="2"/>
  <c r="D30" i="4"/>
  <c r="C30" i="4"/>
  <c r="D12" i="4"/>
  <c r="C26" i="2"/>
  <c r="D26" i="2"/>
  <c r="C10" i="1"/>
  <c r="C14" i="1"/>
  <c r="C18" i="1"/>
  <c r="C17" i="1"/>
  <c r="C22" i="1"/>
  <c r="C20" i="1"/>
  <c r="L20" i="1"/>
  <c r="I20" i="1"/>
  <c r="P20" i="1"/>
  <c r="O20" i="1"/>
  <c r="L21" i="1"/>
  <c r="O21" i="1"/>
  <c r="P21" i="1"/>
  <c r="C33" i="2"/>
  <c r="D33" i="2"/>
  <c r="D7" i="2"/>
  <c r="C7" i="2"/>
  <c r="L16" i="1"/>
  <c r="C16" i="1"/>
  <c r="J16" i="1"/>
  <c r="F16" i="1"/>
  <c r="P16" i="1"/>
  <c r="I16" i="1"/>
  <c r="L11" i="1"/>
  <c r="J11" i="1"/>
  <c r="I11" i="1"/>
  <c r="F11" i="1"/>
  <c r="P11" i="1"/>
  <c r="O11" i="1"/>
  <c r="C11" i="1"/>
  <c r="D33" i="4"/>
  <c r="J21" i="1"/>
  <c r="J17" i="1"/>
  <c r="J18" i="1"/>
  <c r="J15" i="1"/>
  <c r="J13" i="1"/>
  <c r="J19" i="1"/>
  <c r="J22" i="1"/>
  <c r="D8" i="2"/>
  <c r="C8" i="2"/>
  <c r="D36" i="4"/>
  <c r="C36" i="4"/>
  <c r="C14" i="2"/>
  <c r="D14" i="2"/>
  <c r="D20" i="4"/>
  <c r="D27" i="4"/>
  <c r="D10" i="4"/>
  <c r="D16" i="4"/>
  <c r="D29" i="4"/>
  <c r="D31" i="4"/>
  <c r="D15" i="4"/>
  <c r="D32" i="4"/>
  <c r="D34" i="4"/>
  <c r="D26" i="4"/>
  <c r="D11" i="4"/>
  <c r="D13" i="4"/>
  <c r="D38" i="4"/>
  <c r="D35" i="4"/>
  <c r="D7" i="4"/>
  <c r="D28" i="4"/>
  <c r="D25" i="4"/>
  <c r="D17" i="4"/>
  <c r="D37" i="4"/>
  <c r="D24" i="4"/>
  <c r="D18" i="4"/>
  <c r="D21" i="4"/>
  <c r="D9" i="4"/>
  <c r="O27" i="7"/>
  <c r="R27" i="7"/>
  <c r="Q18" i="7"/>
  <c r="L18" i="7"/>
  <c r="U13" i="7"/>
  <c r="V13" i="7"/>
  <c r="V12" i="7"/>
  <c r="I12" i="7"/>
  <c r="W12" i="7"/>
  <c r="J12" i="7"/>
  <c r="X12" i="7"/>
  <c r="X11" i="7"/>
  <c r="D11" i="7"/>
  <c r="P11" i="7"/>
  <c r="W11" i="7"/>
  <c r="Y11" i="7"/>
  <c r="Z11" i="7"/>
  <c r="L29" i="7"/>
  <c r="M29" i="7"/>
  <c r="W29" i="7"/>
  <c r="N29" i="7"/>
  <c r="N28" i="7"/>
  <c r="T28" i="7"/>
  <c r="O28" i="7"/>
  <c r="E28" i="7"/>
  <c r="P28" i="7"/>
  <c r="V24" i="7"/>
  <c r="W24" i="7"/>
  <c r="AB24" i="7"/>
  <c r="X24" i="7"/>
  <c r="O19" i="7"/>
  <c r="T19" i="7"/>
  <c r="H19" i="7"/>
  <c r="K19" i="7"/>
  <c r="N19" i="7"/>
  <c r="P19" i="7"/>
  <c r="G19" i="7"/>
  <c r="I19" i="7"/>
  <c r="M19" i="7"/>
  <c r="J19" i="7"/>
  <c r="V14" i="7"/>
  <c r="V18" i="7"/>
  <c r="I24" i="7"/>
  <c r="I13" i="7"/>
  <c r="I18" i="7"/>
  <c r="X34" i="7"/>
  <c r="R34" i="7"/>
  <c r="Y34" i="7"/>
  <c r="Z34" i="7"/>
  <c r="E34" i="7"/>
  <c r="N34" i="7"/>
  <c r="C34" i="7"/>
  <c r="AA34" i="7"/>
  <c r="O34" i="7"/>
  <c r="D34" i="7"/>
  <c r="AB34" i="7"/>
  <c r="X10" i="7"/>
  <c r="P10" i="7"/>
  <c r="Z10" i="7"/>
  <c r="H10" i="7"/>
  <c r="C10" i="7"/>
  <c r="AA10" i="7"/>
  <c r="Y10" i="7"/>
  <c r="D10" i="7"/>
  <c r="AB10" i="7"/>
  <c r="AB11" i="7"/>
  <c r="AB28" i="7"/>
  <c r="W14" i="7"/>
  <c r="W27" i="7"/>
  <c r="T12" i="7"/>
  <c r="T24" i="7"/>
  <c r="T27" i="7"/>
  <c r="T13" i="7"/>
  <c r="T14" i="7"/>
  <c r="S13" i="7"/>
  <c r="S14" i="7"/>
  <c r="Y33" i="7"/>
  <c r="H33" i="7"/>
  <c r="Z33" i="7"/>
  <c r="K33" i="7"/>
  <c r="Q33" i="7"/>
  <c r="G33" i="7"/>
  <c r="AA33" i="7"/>
  <c r="D33" i="7"/>
  <c r="AB33" i="7"/>
  <c r="O33" i="7"/>
  <c r="T33" i="7"/>
  <c r="C33" i="7"/>
  <c r="E33" i="7"/>
  <c r="F33" i="7"/>
  <c r="Y9" i="7"/>
  <c r="L9" i="7"/>
  <c r="P9" i="7"/>
  <c r="U9" i="7"/>
  <c r="Z9" i="7"/>
  <c r="I9" i="7"/>
  <c r="C9" i="7"/>
  <c r="J9" i="7"/>
  <c r="AA9" i="7"/>
  <c r="D9" i="7"/>
  <c r="AB9" i="7"/>
  <c r="E9" i="7"/>
  <c r="O9" i="7"/>
  <c r="R9" i="7"/>
  <c r="F9" i="7"/>
  <c r="C28" i="7"/>
  <c r="C18" i="7"/>
  <c r="C13" i="7"/>
  <c r="C27" i="7"/>
  <c r="C29" i="7"/>
  <c r="Z12" i="7"/>
  <c r="Z29" i="7"/>
  <c r="Z14" i="7"/>
  <c r="Z28" i="7"/>
  <c r="Q13" i="7"/>
  <c r="Q14" i="7"/>
  <c r="Q27" i="7"/>
  <c r="Q17" i="7"/>
  <c r="I17" i="7"/>
  <c r="W17" i="7"/>
  <c r="J17" i="7"/>
  <c r="T17" i="7"/>
  <c r="Y17" i="7"/>
  <c r="D17" i="7"/>
  <c r="K17" i="7"/>
  <c r="P17" i="7"/>
  <c r="L17" i="7"/>
  <c r="AB17" i="7"/>
  <c r="M17" i="7"/>
  <c r="N17" i="7"/>
  <c r="T16" i="7"/>
  <c r="V16" i="7"/>
  <c r="K16" i="7"/>
  <c r="S16" i="7"/>
  <c r="L16" i="7"/>
  <c r="Z16" i="7"/>
  <c r="M16" i="7"/>
  <c r="N16" i="7"/>
  <c r="D16" i="7"/>
  <c r="E16" i="7"/>
  <c r="O16" i="7"/>
  <c r="P16" i="7"/>
  <c r="C15" i="7"/>
  <c r="M15" i="7"/>
  <c r="N15" i="7"/>
  <c r="S15" i="7"/>
  <c r="U15" i="7"/>
  <c r="G15" i="7"/>
  <c r="AA15" i="7"/>
  <c r="H15" i="7"/>
  <c r="P15" i="7"/>
  <c r="W15" i="7"/>
  <c r="E15" i="7"/>
  <c r="O15" i="7"/>
  <c r="Q15" i="7"/>
  <c r="R15" i="7"/>
  <c r="Z32" i="7"/>
  <c r="T32" i="7"/>
  <c r="V32" i="7"/>
  <c r="W32" i="7"/>
  <c r="C32" i="7"/>
  <c r="AA32" i="7"/>
  <c r="D32" i="7"/>
  <c r="AB32" i="7"/>
  <c r="J32" i="7"/>
  <c r="L32" i="7"/>
  <c r="R32" i="7"/>
  <c r="E32" i="7"/>
  <c r="F32" i="7"/>
  <c r="K32" i="7"/>
  <c r="N32" i="7"/>
  <c r="U32" i="7"/>
  <c r="G32" i="7"/>
  <c r="H32" i="7"/>
  <c r="R33" i="7"/>
  <c r="R12" i="7"/>
  <c r="R24" i="7"/>
  <c r="R29" i="7"/>
  <c r="R13" i="7"/>
  <c r="R14" i="7"/>
  <c r="Q21" i="7"/>
  <c r="X21" i="7"/>
  <c r="T21" i="7"/>
  <c r="Y21" i="7"/>
  <c r="P21" i="7"/>
  <c r="U21" i="7"/>
  <c r="Z21" i="7"/>
  <c r="S21" i="7"/>
  <c r="AA21" i="7"/>
  <c r="J21" i="7"/>
  <c r="C21" i="7"/>
  <c r="D21" i="7"/>
  <c r="AB21" i="7"/>
  <c r="I21" i="7"/>
  <c r="E21" i="7"/>
  <c r="F21" i="7"/>
  <c r="C31" i="7"/>
  <c r="AA31" i="7"/>
  <c r="D31" i="7"/>
  <c r="AB31" i="7"/>
  <c r="L31" i="7"/>
  <c r="W31" i="7"/>
  <c r="E31" i="7"/>
  <c r="K31" i="7"/>
  <c r="Y31" i="7"/>
  <c r="F31" i="7"/>
  <c r="G31" i="7"/>
  <c r="O31" i="7"/>
  <c r="S31" i="7"/>
  <c r="U31" i="7"/>
  <c r="H31" i="7"/>
  <c r="I31" i="7"/>
  <c r="J31" i="7"/>
  <c r="Y32" i="7"/>
  <c r="Y28" i="7"/>
  <c r="Y29" i="7"/>
  <c r="Y24" i="7"/>
  <c r="Y14" i="7"/>
  <c r="Y12" i="7"/>
  <c r="Y18" i="7"/>
  <c r="AA19" i="7"/>
  <c r="AA18" i="7"/>
  <c r="AA27" i="7"/>
  <c r="AA29" i="7"/>
  <c r="K26" i="7"/>
  <c r="M26" i="7"/>
  <c r="E26" i="7"/>
  <c r="F26" i="7"/>
  <c r="N26" i="7"/>
  <c r="O26" i="7"/>
  <c r="W26" i="7"/>
  <c r="P26" i="7"/>
  <c r="X26" i="7"/>
  <c r="I26" i="7"/>
  <c r="R26" i="7"/>
  <c r="G26" i="7"/>
  <c r="Q26" i="7"/>
  <c r="S26" i="7"/>
  <c r="J26" i="7"/>
  <c r="T26" i="7"/>
  <c r="V20" i="7"/>
  <c r="W20" i="7"/>
  <c r="Y20" i="7"/>
  <c r="J20" i="7"/>
  <c r="M20" i="7"/>
  <c r="Q20" i="7"/>
  <c r="R20" i="7"/>
  <c r="Z20" i="7"/>
  <c r="I20" i="7"/>
  <c r="U20" i="7"/>
  <c r="C20" i="7"/>
  <c r="AA20" i="7"/>
  <c r="N20" i="7"/>
  <c r="S20" i="7"/>
  <c r="D20" i="7"/>
  <c r="AB20" i="7"/>
  <c r="L20" i="7"/>
  <c r="E20" i="7"/>
  <c r="T20" i="7"/>
  <c r="F20" i="7"/>
  <c r="G20" i="7"/>
  <c r="H20" i="7"/>
  <c r="D30" i="7"/>
  <c r="AB30" i="7"/>
  <c r="Q30" i="7"/>
  <c r="U30" i="7"/>
  <c r="X30" i="7"/>
  <c r="E30" i="7"/>
  <c r="N30" i="7"/>
  <c r="P30" i="7"/>
  <c r="F30" i="7"/>
  <c r="C30" i="7"/>
  <c r="G30" i="7"/>
  <c r="V30" i="7"/>
  <c r="Y30" i="7"/>
  <c r="AA30" i="7"/>
  <c r="H30" i="7"/>
  <c r="I30" i="7"/>
  <c r="R30" i="7"/>
  <c r="Z30" i="7"/>
  <c r="J30" i="7"/>
  <c r="K30" i="7"/>
  <c r="L30" i="7"/>
  <c r="X20" i="7"/>
  <c r="X32" i="7"/>
  <c r="X9" i="7"/>
  <c r="X33" i="7"/>
  <c r="X29" i="7"/>
  <c r="X18" i="7"/>
  <c r="X19" i="7"/>
  <c r="N25" i="7"/>
  <c r="Z25" i="7"/>
  <c r="J25" i="7"/>
  <c r="K25" i="7"/>
  <c r="O25" i="7"/>
  <c r="C25" i="7"/>
  <c r="G25" i="7"/>
  <c r="P25" i="7"/>
  <c r="M25" i="7"/>
  <c r="Q25" i="7"/>
  <c r="AA25" i="7"/>
  <c r="R25" i="7"/>
  <c r="W25" i="7"/>
  <c r="Y25" i="7"/>
  <c r="AB25" i="7"/>
  <c r="D25" i="7"/>
  <c r="H25" i="7"/>
  <c r="S25" i="7"/>
  <c r="T25" i="7"/>
  <c r="X25" i="7"/>
  <c r="L25" i="7"/>
  <c r="U25" i="7"/>
  <c r="V25" i="7"/>
  <c r="N23" i="7"/>
  <c r="Q23" i="7"/>
  <c r="R23" i="7"/>
  <c r="F23" i="7"/>
  <c r="S23" i="7"/>
  <c r="T23" i="7"/>
  <c r="L23" i="7"/>
  <c r="U23" i="7"/>
  <c r="V23" i="7"/>
  <c r="W23" i="7"/>
  <c r="C23" i="7"/>
  <c r="P23" i="7"/>
  <c r="X23" i="7"/>
  <c r="K23" i="7"/>
  <c r="O23" i="7"/>
  <c r="Y23" i="7"/>
  <c r="AA23" i="7"/>
  <c r="D23" i="7"/>
  <c r="H23" i="7"/>
  <c r="Z23" i="7"/>
  <c r="N13" i="7"/>
  <c r="N12" i="7"/>
  <c r="N14" i="7"/>
  <c r="N27" i="7"/>
  <c r="N18" i="7"/>
  <c r="N24" i="7"/>
  <c r="N11" i="7"/>
  <c r="L22" i="7"/>
  <c r="E22" i="7"/>
  <c r="N22" i="7"/>
  <c r="J22" i="7"/>
  <c r="Q22" i="7"/>
  <c r="R22" i="7"/>
  <c r="T22" i="7"/>
  <c r="S22" i="7"/>
  <c r="U22" i="7"/>
  <c r="G22" i="7"/>
  <c r="P22" i="7"/>
  <c r="V22" i="7"/>
  <c r="I22" i="7"/>
  <c r="M22" i="7"/>
  <c r="W22" i="7"/>
  <c r="H22" i="7"/>
  <c r="X22" i="7"/>
  <c r="O22" i="7"/>
  <c r="Z22" i="7"/>
  <c r="F22" i="7"/>
  <c r="Y22" i="7"/>
  <c r="C22" i="7"/>
  <c r="AA22" i="7"/>
  <c r="D22" i="7"/>
  <c r="AB22" i="7"/>
  <c r="P20" i="7"/>
  <c r="P32" i="7"/>
  <c r="P31" i="7"/>
  <c r="P34" i="7"/>
  <c r="P12" i="7"/>
  <c r="P24" i="7"/>
  <c r="P29" i="7"/>
  <c r="P18" i="7"/>
  <c r="P33" i="7"/>
  <c r="P13" i="7"/>
  <c r="P14" i="7"/>
  <c r="P27" i="7"/>
  <c r="O20" i="7"/>
  <c r="O32" i="7"/>
  <c r="O18" i="7"/>
  <c r="O21" i="7"/>
  <c r="O12" i="7"/>
  <c r="O13" i="7"/>
  <c r="O29" i="7"/>
  <c r="O14" i="7"/>
  <c r="O24" i="7"/>
  <c r="O11" i="7"/>
  <c r="E14" i="2" l="1"/>
  <c r="F14" i="2" s="1"/>
  <c r="E8" i="2"/>
  <c r="F8" i="2" s="1"/>
  <c r="R11" i="1"/>
  <c r="W11" i="1"/>
  <c r="AA11" i="1"/>
  <c r="Q11" i="1"/>
  <c r="X11" i="1"/>
  <c r="Y11" i="1"/>
  <c r="K11" i="1"/>
  <c r="Z11" i="1"/>
  <c r="Y16" i="1"/>
  <c r="K16" i="1"/>
  <c r="X16" i="1"/>
  <c r="R16" i="1"/>
  <c r="W16" i="1"/>
  <c r="Z16" i="1"/>
  <c r="E7" i="2"/>
  <c r="F7" i="2" s="1"/>
  <c r="C13" i="2"/>
  <c r="D13" i="2"/>
  <c r="E33" i="2"/>
  <c r="F33" i="2" s="1"/>
  <c r="Q21" i="1"/>
  <c r="AA21" i="1"/>
  <c r="Z21" i="1"/>
  <c r="Q20" i="1"/>
  <c r="AA20" i="1"/>
  <c r="Y20" i="1"/>
  <c r="K20" i="1"/>
  <c r="Z20" i="1"/>
  <c r="W20" i="1"/>
  <c r="R20" i="1"/>
  <c r="W22" i="1"/>
  <c r="R22" i="1"/>
  <c r="W17" i="1"/>
  <c r="R18" i="1"/>
  <c r="W18" i="1"/>
  <c r="R14" i="1"/>
  <c r="W14" i="1"/>
  <c r="W10" i="1"/>
  <c r="R10" i="1"/>
  <c r="E26" i="2"/>
  <c r="F26" i="2" s="1"/>
  <c r="E12" i="2"/>
  <c r="F12" i="2" s="1"/>
  <c r="E22" i="2"/>
  <c r="F22" i="2" s="1"/>
  <c r="K18" i="1"/>
  <c r="Y18" i="1"/>
  <c r="Y19" i="1"/>
  <c r="K19" i="1"/>
  <c r="Y14" i="1"/>
  <c r="K14" i="1"/>
  <c r="E31" i="2"/>
  <c r="F31" i="2" s="1"/>
  <c r="K9" i="1"/>
  <c r="Y9" i="1"/>
  <c r="E17" i="2"/>
  <c r="F17" i="2" s="1"/>
  <c r="W12" i="1"/>
  <c r="R12" i="1"/>
  <c r="Z15" i="1"/>
  <c r="W15" i="1"/>
  <c r="R15" i="1"/>
  <c r="X15" i="1"/>
  <c r="X19" i="1"/>
  <c r="X14" i="1"/>
  <c r="AA14" i="1"/>
  <c r="Q14" i="1"/>
  <c r="Q18" i="1"/>
  <c r="AA18" i="1"/>
  <c r="E35" i="2"/>
  <c r="F35" i="2" s="1"/>
  <c r="Z22" i="1"/>
  <c r="Z18" i="1"/>
  <c r="Z14" i="1"/>
  <c r="AA19" i="1"/>
  <c r="Q19" i="1"/>
  <c r="R19" i="1"/>
  <c r="W19" i="1"/>
  <c r="Q13" i="1"/>
  <c r="AA13" i="1"/>
  <c r="K13" i="1"/>
  <c r="Y13" i="1"/>
  <c r="E24" i="2"/>
  <c r="F24" i="2" s="1"/>
  <c r="E10" i="2"/>
  <c r="F10" i="2" s="1"/>
  <c r="R21" i="1"/>
  <c r="W21" i="1"/>
  <c r="Y15" i="1"/>
  <c r="K15" i="1"/>
  <c r="E34" i="2"/>
  <c r="F34" i="2" s="1"/>
  <c r="Z9" i="1"/>
  <c r="Q9" i="1"/>
  <c r="AA9" i="1"/>
  <c r="E9" i="2"/>
  <c r="F9" i="2" s="1"/>
  <c r="Y10" i="1"/>
  <c r="K10" i="1"/>
  <c r="X10" i="1"/>
  <c r="E18" i="2"/>
  <c r="F18" i="2" s="1"/>
  <c r="AA16" i="1"/>
  <c r="Q16" i="1"/>
  <c r="E37" i="2"/>
  <c r="F37" i="2" s="1"/>
  <c r="Y21" i="1"/>
  <c r="K21" i="1"/>
  <c r="K12" i="1"/>
  <c r="Y12" i="1"/>
  <c r="X9" i="1"/>
  <c r="R13" i="1"/>
  <c r="W13" i="1"/>
  <c r="X21" i="1"/>
  <c r="X18" i="1"/>
  <c r="E32" i="2"/>
  <c r="F32" i="2" s="1"/>
  <c r="E39" i="2"/>
  <c r="F39" i="2" s="1"/>
  <c r="AA15" i="1"/>
  <c r="Q15" i="1"/>
  <c r="X20" i="1"/>
  <c r="Z17" i="1"/>
  <c r="X13" i="1"/>
  <c r="E36" i="2"/>
  <c r="F36" i="2" s="1"/>
  <c r="R9" i="1"/>
  <c r="W9" i="1"/>
  <c r="E16" i="2"/>
  <c r="F16" i="2" s="1"/>
  <c r="Z12" i="1"/>
  <c r="X12" i="1"/>
  <c r="AA10" i="1"/>
  <c r="Q10" i="1"/>
  <c r="Y17" i="1"/>
  <c r="K17" i="1"/>
  <c r="Z19" i="1"/>
  <c r="AA17" i="1"/>
  <c r="Q17" i="1"/>
  <c r="E19" i="2"/>
  <c r="F19" i="2" s="1"/>
  <c r="D7" i="1"/>
  <c r="Z13" i="1"/>
  <c r="E21" i="2"/>
  <c r="F21" i="2" s="1"/>
  <c r="Y22" i="1"/>
  <c r="K22" i="1"/>
  <c r="AA22" i="1"/>
  <c r="Q22" i="1"/>
  <c r="AA12" i="1"/>
  <c r="Q12" i="1"/>
  <c r="X22" i="1"/>
  <c r="E28" i="2"/>
  <c r="F28" i="2" s="1"/>
  <c r="E15" i="2"/>
  <c r="F15" i="2" s="1"/>
  <c r="Z10" i="1"/>
  <c r="E20" i="2"/>
  <c r="F20" i="2" s="1"/>
  <c r="E38" i="2"/>
  <c r="F38" i="2" s="1"/>
  <c r="E25" i="2"/>
  <c r="F25" i="2" s="1"/>
  <c r="E23" i="2"/>
  <c r="F23" i="2" s="1"/>
  <c r="M7" i="1"/>
  <c r="E27" i="2"/>
  <c r="F27" i="2" s="1"/>
  <c r="E11" i="2"/>
  <c r="F11" i="2" s="1"/>
  <c r="G7" i="1"/>
  <c r="D22" i="4"/>
  <c r="C37" i="4"/>
  <c r="C19" i="4"/>
  <c r="F17" i="1"/>
  <c r="C12" i="4"/>
  <c r="C29" i="2"/>
  <c r="G19" i="1"/>
  <c r="G17" i="1"/>
  <c r="G20" i="1"/>
  <c r="G9" i="1"/>
  <c r="G10" i="1"/>
  <c r="G11" i="1"/>
  <c r="G12" i="1"/>
  <c r="G13" i="1"/>
  <c r="G15" i="1"/>
  <c r="G22" i="1"/>
  <c r="G16" i="1"/>
  <c r="G14" i="1"/>
  <c r="G18" i="1"/>
  <c r="G21" i="1"/>
  <c r="M18" i="1"/>
  <c r="M19" i="1"/>
  <c r="M13" i="1"/>
  <c r="M16" i="1"/>
  <c r="M22" i="1"/>
  <c r="M14" i="1"/>
  <c r="M11" i="1"/>
  <c r="M9" i="1"/>
  <c r="M15" i="1"/>
  <c r="M17" i="1"/>
  <c r="M10" i="1"/>
  <c r="M21" i="1"/>
  <c r="M12" i="1"/>
  <c r="M20" i="1"/>
  <c r="C13" i="4"/>
  <c r="C20" i="4"/>
  <c r="C30" i="2"/>
  <c r="C33" i="4"/>
  <c r="D23" i="4"/>
  <c r="D9" i="1"/>
  <c r="D21" i="1"/>
  <c r="D17" i="1"/>
  <c r="D10" i="1"/>
  <c r="D20" i="1"/>
  <c r="D15" i="1"/>
  <c r="D18" i="1"/>
  <c r="D14" i="1"/>
  <c r="D13" i="1"/>
  <c r="D12" i="1"/>
  <c r="D16" i="1"/>
  <c r="D11" i="1"/>
  <c r="D19" i="1"/>
  <c r="D22" i="1"/>
  <c r="E13" i="2" l="1"/>
  <c r="F13" i="2" s="1"/>
  <c r="S22" i="1"/>
  <c r="E22" i="1"/>
  <c r="S19" i="1"/>
  <c r="E19" i="1"/>
  <c r="S11" i="1"/>
  <c r="E11" i="1"/>
  <c r="S16" i="1"/>
  <c r="E16" i="1"/>
  <c r="S12" i="1"/>
  <c r="E12" i="1"/>
  <c r="S13" i="1"/>
  <c r="E13" i="1"/>
  <c r="S14" i="1"/>
  <c r="E14" i="1"/>
  <c r="S18" i="1"/>
  <c r="E18" i="1"/>
  <c r="S15" i="1"/>
  <c r="E15" i="1"/>
  <c r="S20" i="1"/>
  <c r="E20" i="1"/>
  <c r="S10" i="1"/>
  <c r="E10" i="1"/>
  <c r="S17" i="1"/>
  <c r="E17" i="1"/>
  <c r="S21" i="1"/>
  <c r="E21" i="1"/>
  <c r="S9" i="1"/>
  <c r="E9" i="1"/>
  <c r="E30" i="2"/>
  <c r="F30" i="2" s="1"/>
  <c r="N20" i="1"/>
  <c r="N12" i="1"/>
  <c r="N21" i="1"/>
  <c r="N10" i="1"/>
  <c r="N17" i="1"/>
  <c r="N15" i="1"/>
  <c r="N9" i="1"/>
  <c r="N11" i="1"/>
  <c r="N14" i="1"/>
  <c r="N22" i="1"/>
  <c r="N16" i="1"/>
  <c r="N13" i="1"/>
  <c r="N19" i="1"/>
  <c r="N18" i="1"/>
  <c r="H21" i="1"/>
  <c r="H18" i="1"/>
  <c r="H14" i="1"/>
  <c r="H16" i="1"/>
  <c r="H22" i="1"/>
  <c r="H15" i="1"/>
  <c r="H13" i="1"/>
  <c r="H12" i="1"/>
  <c r="H11" i="1"/>
  <c r="H10" i="1"/>
  <c r="H9" i="1"/>
  <c r="H20" i="1"/>
  <c r="H19" i="1"/>
  <c r="E29" i="2"/>
  <c r="F29" i="2" s="1"/>
  <c r="X17" i="1"/>
  <c r="H17" i="1"/>
  <c r="R17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pbiazure://api.powerbi.com a17e9212-e5a8-47c6-999a-02ae22de8953 Model" type="5" refreshedVersion="8" refreshOnLoad="1" saveData="1">
    <dbPr connection="Provider=MSOLAP.8;Integrated Security=ClaimsToken;Persist Security Info=True;Initial Catalog=sobe_wowvirtualserver-32de1a26-b937-4234-8e1c-94f800db3a59;Data Source=pbiazure://api.powerbi.com;MDX Compatibility=1;Safety Options=2;MDX Missing Member Mode=Error;Identity Provider=https://login.microsoftonline.com/common, https://analysis.windows.net/powerbi/api, 929d0ec0-7a41-4b1e-bc7c-b754a28bddcc;Update Isolation Level=2" command="Model" commandType="1"/>
    <olapPr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2">
    <s v="pbiazure://api.powerbi.com a17e9212-e5a8-47c6-999a-02ae22de8953 Model"/>
    <s v="{[Accounts].[Statement].&amp;[PL]}"/>
    <s v="{[Organisation].[LegalName].[All]}"/>
    <s v="[Accounts].[Type].&amp;[Expense]"/>
    <s v="[Accounts].[Name].&amp;[Wages and Salaries]"/>
    <s v="[Accounts].[Name].&amp;[Dues &amp; Subscriptions]"/>
    <s v="[Accounts].[Name].&amp;[Travel - National]"/>
    <s v="[Accounts].[Name].&amp;[Consulting &amp; Accounting]"/>
    <s v="[Accounts].[Name].&amp;[Telephone &amp; Internet]"/>
    <s v="[Accounts].[Name].&amp;[Cleaning]"/>
    <s v="[Accounts].[Name].&amp;[Subscriptions]"/>
    <s v="[Accounts].[Name].&amp;[Bank Fees]"/>
    <s v="[Accounts].[Name].&amp;[Repairs and Maintenance]"/>
    <s v="[Accounts].[Name].&amp;[Advertising]"/>
    <s v="[Accounts].[Name].&amp;[Rent]"/>
    <s v="[Accounts].[Name].&amp;[Printing &amp; Stationery]"/>
    <s v="[Accounts].[Type].&amp;[DirectCosts]"/>
    <s v="[Accounts].[Name].&amp;[Purchases]"/>
    <s v="[Accounts].[Name].&amp;[Payroll Tax Expense]"/>
    <s v="[Accounts].[Name].&amp;[Cost of Goods Sold]"/>
    <s v="[Accounts].[Name].&amp;[Office Expenses]"/>
    <s v="[Accounts].[Name].&amp;[Motor Vehicle Expenses]"/>
    <s v="[Accounts].[Type].&amp;[Revenue]"/>
    <s v="[Accounts].[Name].&amp;[Sales]"/>
    <s v="[Accounts].[Name].&amp;[Light, Power, Heating]"/>
    <s v="[Accounts].[Name].&amp;[Other Revenue]"/>
    <s v="[Accounts].[Name].&amp;[Legal expenses]"/>
    <s v="[Accounts].[Type].[All]"/>
    <s v="[Accounts].[Name].&amp;[Income Tax Expense]"/>
    <s v="[Measures].[BUD]"/>
    <s v="[Accounts].[Type].&amp;[OtherIncome]"/>
    <s v="[Accounts].[Name].&amp;[Interest Income]"/>
    <s v="[Accounts].[Name].&amp;[General Expenses]"/>
    <s v="[Measures].[ACT]"/>
    <s v="[Accounts].[Name].&amp;[Freight &amp; Courier]"/>
    <s v="[Accounts].[Type].&amp;[Overheads]"/>
    <s v="[Accounts].[Name].&amp;[Entertainment]"/>
    <s v="\$#,0.00;(\$#,0.00);\$#,0.00"/>
    <s v="{[Calendar].[Year].&amp;[2021]}"/>
    <s v="[Calendar].[Year_Month].&amp;[2021-12-01T00:00:00]"/>
    <s v="[Calendar].[Year_Month].&amp;[2021-11-01T00:00:00]"/>
    <s v="[Calendar].[Year_Month].&amp;[2021-10-01T00:00:00]"/>
    <s v="[Calendar].[Year_Month].&amp;[2021-09-01T00:00:00]"/>
    <s v="[Calendar].[Year_Month].&amp;[2021-08-01T00:00:00]"/>
    <s v="[Calendar].[Year_Month].&amp;[2021-03-01T00:00:00]"/>
    <s v="[Calendar].[Year_Month].&amp;[2021-02-01T00:00:00]"/>
    <s v="[Calendar].[Year_Month].&amp;[2021-06-01T00:00:00]"/>
    <s v="[Calendar].[Year_Month].&amp;[2021-05-01T00:00:00]"/>
    <s v="[Calendar].[Year_Month].&amp;[2021-04-01T00:00:00]"/>
    <s v="[Accounts].[Name].&amp;[Intercompany Revenue]"/>
    <s v="[Calendar].[Year_Month].&amp;[2021-01-01T00:00:00]"/>
    <s v="[Calendar].[Year_Month].&amp;[2021-07-01T00:00:00]"/>
  </metadataStrings>
  <mdxMetadata count="954">
    <mdx n="0" f="s">
      <ms ns="1" c="0"/>
    </mdx>
    <mdx n="0" f="s">
      <ms ns="2" c="0"/>
    </mdx>
    <mdx n="0" f="m">
      <t c="2">
        <n x="3"/>
        <n x="4"/>
      </t>
    </mdx>
    <mdx n="0" f="m">
      <t c="2">
        <n x="3"/>
        <n x="5"/>
      </t>
    </mdx>
    <mdx n="0" f="m">
      <t c="2">
        <n x="3"/>
        <n x="6"/>
      </t>
    </mdx>
    <mdx n="0" f="m">
      <t c="2">
        <n x="3"/>
        <n x="7"/>
      </t>
    </mdx>
    <mdx n="0" f="m">
      <t c="2">
        <n x="3"/>
        <n x="8"/>
      </t>
    </mdx>
    <mdx n="0" f="m">
      <t c="2">
        <n x="3"/>
        <n x="9"/>
      </t>
    </mdx>
    <mdx n="0" f="m">
      <t c="2">
        <n x="3"/>
        <n x="10"/>
      </t>
    </mdx>
    <mdx n="0" f="m">
      <t c="2">
        <n x="3"/>
        <n x="11"/>
      </t>
    </mdx>
    <mdx n="0" f="m">
      <t c="2">
        <n x="3"/>
        <n x="12"/>
      </t>
    </mdx>
    <mdx n="0" f="m">
      <t c="2">
        <n x="3"/>
        <n x="13"/>
      </t>
    </mdx>
    <mdx n="0" f="m">
      <t c="2">
        <n x="3"/>
        <n x="14"/>
      </t>
    </mdx>
    <mdx n="0" f="m">
      <t c="1">
        <n x="3"/>
      </t>
    </mdx>
    <mdx n="0" f="m">
      <t c="2">
        <n x="3"/>
        <n x="15"/>
      </t>
    </mdx>
    <mdx n="0" f="m">
      <t c="2">
        <n x="16"/>
        <n x="17"/>
      </t>
    </mdx>
    <mdx n="0" f="m">
      <t c="2">
        <n x="3"/>
        <n x="18"/>
      </t>
    </mdx>
    <mdx n="0" f="m">
      <t c="2">
        <n x="16"/>
        <n x="19"/>
      </t>
    </mdx>
    <mdx n="0" f="m">
      <t c="2">
        <n x="3"/>
        <n x="20"/>
      </t>
    </mdx>
    <mdx n="0" f="m">
      <t c="1">
        <n x="16"/>
      </t>
    </mdx>
    <mdx n="0" f="m">
      <t c="2">
        <n x="3"/>
        <n x="21"/>
      </t>
    </mdx>
    <mdx n="0" f="m">
      <t c="2">
        <n x="22"/>
        <n x="23"/>
      </t>
    </mdx>
    <mdx n="0" f="m">
      <t c="2">
        <n x="3"/>
        <n x="24"/>
      </t>
    </mdx>
    <mdx n="0" f="m">
      <t c="2">
        <n x="22"/>
        <n x="25"/>
      </t>
    </mdx>
    <mdx n="0" f="m">
      <t c="2">
        <n x="3"/>
        <n x="26"/>
      </t>
    </mdx>
    <mdx n="0" f="m">
      <t c="1">
        <n x="22"/>
      </t>
    </mdx>
    <mdx n="0" f="m">
      <t c="1">
        <n x="27"/>
      </t>
    </mdx>
    <mdx n="0" f="m">
      <t c="2">
        <n x="3"/>
        <n x="28"/>
      </t>
    </mdx>
    <mdx n="0" f="m">
      <t c="1">
        <n x="29"/>
      </t>
    </mdx>
    <mdx n="0" f="m">
      <t c="2">
        <n x="30"/>
        <n x="31"/>
      </t>
    </mdx>
    <mdx n="0" f="m">
      <t c="2">
        <n x="3"/>
        <n x="32"/>
      </t>
    </mdx>
    <mdx n="0" f="m">
      <t c="1">
        <n x="33"/>
      </t>
    </mdx>
    <mdx n="0" f="m">
      <t c="1">
        <n x="30"/>
      </t>
    </mdx>
    <mdx n="0" f="m">
      <t c="2">
        <n x="3"/>
        <n x="34"/>
      </t>
    </mdx>
    <mdx n="0" f="m">
      <t c="1">
        <n x="35"/>
      </t>
    </mdx>
    <mdx n="0" f="m">
      <t c="2">
        <n x="3"/>
        <n x="36"/>
      </t>
    </mdx>
    <mdx n="0" f="v">
      <t c="5" si="37">
        <n x="1" s="1"/>
        <n x="2" s="1"/>
        <n x="30"/>
        <n x="31"/>
        <n x="33"/>
      </t>
    </mdx>
    <mdx n="0" f="v">
      <t c="5" si="37">
        <n x="1" s="1"/>
        <n x="2" s="1"/>
        <n x="3"/>
        <n x="15"/>
        <n x="33"/>
      </t>
    </mdx>
    <mdx n="0" f="v">
      <t c="5" si="37">
        <n x="1" s="1"/>
        <n x="2" s="1"/>
        <n x="3"/>
        <n x="34"/>
        <n x="33"/>
      </t>
    </mdx>
    <mdx n="0" f="v">
      <t c="5" si="37">
        <n x="1" s="1"/>
        <n x="2" s="1"/>
        <n x="16"/>
        <n x="17"/>
        <n x="33"/>
      </t>
    </mdx>
    <mdx n="0" f="v">
      <t c="4" si="37">
        <n x="1" s="1"/>
        <n x="2" s="1"/>
        <n x="35"/>
        <n x="33"/>
      </t>
    </mdx>
    <mdx n="0" f="v">
      <t c="5" si="37">
        <n x="1" s="1"/>
        <n x="2" s="1"/>
        <n x="3"/>
        <n x="18"/>
        <n x="33"/>
      </t>
    </mdx>
    <mdx n="0" f="v">
      <t c="5" si="37">
        <n x="1" s="1"/>
        <n x="2" s="1"/>
        <n x="3"/>
        <n x="36"/>
        <n x="33"/>
      </t>
    </mdx>
    <mdx n="0" f="v">
      <t c="5" si="37">
        <n x="1" s="1"/>
        <n x="2" s="1"/>
        <n x="16"/>
        <n x="19"/>
        <n x="33"/>
      </t>
    </mdx>
    <mdx n="0" f="v">
      <t c="5" si="37">
        <n x="1" s="1"/>
        <n x="2" s="1"/>
        <n x="3"/>
        <n x="4"/>
        <n x="33"/>
      </t>
    </mdx>
    <mdx n="0" f="v">
      <t c="5" si="37">
        <n x="1" s="1"/>
        <n x="2" s="1"/>
        <n x="3"/>
        <n x="20"/>
        <n x="33"/>
      </t>
    </mdx>
    <mdx n="0" f="v">
      <t c="5" si="37">
        <n x="1" s="1"/>
        <n x="2" s="1"/>
        <n x="3"/>
        <n x="5"/>
        <n x="33"/>
      </t>
    </mdx>
    <mdx n="0" f="v">
      <t c="4" si="37">
        <n x="1" s="1"/>
        <n x="2" s="1"/>
        <n x="16"/>
        <n x="33"/>
      </t>
    </mdx>
    <mdx n="0" f="v">
      <t c="5" si="37">
        <n x="1" s="1"/>
        <n x="2" s="1"/>
        <n x="3"/>
        <n x="6"/>
        <n x="33"/>
      </t>
    </mdx>
    <mdx n="0" f="v">
      <t c="5" si="37">
        <n x="1" s="1"/>
        <n x="2" s="1"/>
        <n x="3"/>
        <n x="21"/>
        <n x="33"/>
      </t>
    </mdx>
    <mdx n="0" f="v">
      <t c="5" si="37">
        <n x="1" s="1"/>
        <n x="2" s="1"/>
        <n x="3"/>
        <n x="7"/>
        <n x="33"/>
      </t>
    </mdx>
    <mdx n="0" f="v">
      <t c="5" si="37">
        <n x="1" s="1"/>
        <n x="2" s="1"/>
        <n x="22"/>
        <n x="23"/>
        <n x="33"/>
      </t>
    </mdx>
    <mdx n="0" f="v">
      <t c="5" si="37">
        <n x="1" s="1"/>
        <n x="2" s="1"/>
        <n x="3"/>
        <n x="8"/>
        <n x="33"/>
      </t>
    </mdx>
    <mdx n="0" f="v">
      <t c="5" si="37">
        <n x="1" s="1"/>
        <n x="2" s="1"/>
        <n x="3"/>
        <n x="24"/>
        <n x="33"/>
      </t>
    </mdx>
    <mdx n="0" f="v">
      <t c="5" si="37">
        <n x="1" s="1"/>
        <n x="2" s="1"/>
        <n x="3"/>
        <n x="9"/>
        <n x="33"/>
      </t>
    </mdx>
    <mdx n="0" f="v">
      <t c="5" si="37">
        <n x="1" s="1"/>
        <n x="2" s="1"/>
        <n x="22"/>
        <n x="25"/>
        <n x="33"/>
      </t>
    </mdx>
    <mdx n="0" f="v">
      <t c="5" si="37">
        <n x="1" s="1"/>
        <n x="2" s="1"/>
        <n x="3"/>
        <n x="10"/>
        <n x="33"/>
      </t>
    </mdx>
    <mdx n="0" f="v">
      <t c="5" si="37">
        <n x="1" s="1"/>
        <n x="2" s="1"/>
        <n x="3"/>
        <n x="26"/>
        <n x="33"/>
      </t>
    </mdx>
    <mdx n="0" f="v">
      <t c="5" si="37">
        <n x="1" s="1"/>
        <n x="2" s="1"/>
        <n x="3"/>
        <n x="11"/>
        <n x="33"/>
      </t>
    </mdx>
    <mdx n="0" f="v">
      <t c="4" si="37">
        <n x="1" s="1"/>
        <n x="2" s="1"/>
        <n x="22"/>
        <n x="33"/>
      </t>
    </mdx>
    <mdx n="0" f="v">
      <t c="4" si="37">
        <n x="1" s="1"/>
        <n x="2" s="1"/>
        <n x="27"/>
        <n x="33"/>
      </t>
    </mdx>
    <mdx n="0" f="v">
      <t c="5" si="37">
        <n x="1" s="1"/>
        <n x="2" s="1"/>
        <n x="3"/>
        <n x="12"/>
        <n x="33"/>
      </t>
    </mdx>
    <mdx n="0" f="v">
      <t c="5" si="37">
        <n x="1" s="1"/>
        <n x="2" s="1"/>
        <n x="3"/>
        <n x="28"/>
        <n x="33"/>
      </t>
    </mdx>
    <mdx n="0" f="v">
      <t c="5" si="37">
        <n x="1" s="1"/>
        <n x="2" s="1"/>
        <n x="3"/>
        <n x="13"/>
        <n x="33"/>
      </t>
    </mdx>
    <mdx n="0" f="v">
      <t c="5" si="37">
        <n x="1" s="1"/>
        <n x="2" s="1"/>
        <n x="3"/>
        <n x="14"/>
        <n x="33"/>
      </t>
    </mdx>
    <mdx n="0" f="v">
      <t c="5" si="37">
        <n x="1" s="1"/>
        <n x="2" s="1"/>
        <n x="3"/>
        <n x="32"/>
        <n x="33"/>
      </t>
    </mdx>
    <mdx n="0" f="v">
      <t c="4" si="37">
        <n x="1" s="1"/>
        <n x="2" s="1"/>
        <n x="3"/>
        <n x="33"/>
      </t>
    </mdx>
    <mdx n="0" f="v">
      <t c="4" si="37">
        <n x="1" s="1"/>
        <n x="2" s="1"/>
        <n x="30"/>
        <n x="33"/>
      </t>
    </mdx>
    <mdx n="0" f="s">
      <ms ns="38" c="0"/>
    </mdx>
    <mdx n="0" f="m">
      <t c="1">
        <n x="39"/>
      </t>
    </mdx>
    <mdx n="0" f="m">
      <t c="1">
        <n x="40"/>
      </t>
    </mdx>
    <mdx n="0" f="m">
      <t c="1">
        <n x="41"/>
      </t>
    </mdx>
    <mdx n="0" f="m">
      <t c="1">
        <n x="42"/>
      </t>
    </mdx>
    <mdx n="0" f="m">
      <t c="1">
        <n x="43"/>
      </t>
    </mdx>
    <mdx n="0" f="v">
      <t c="6" si="37">
        <n x="1" s="1"/>
        <n x="2" s="1"/>
        <n x="38" s="1"/>
        <n x="22"/>
        <n x="33"/>
        <n x="43"/>
      </t>
    </mdx>
    <mdx n="0" f="v">
      <t c="6" si="37">
        <n x="1" s="1"/>
        <n x="2" s="1"/>
        <n x="38" s="1"/>
        <n x="22"/>
        <n x="29"/>
        <n x="39"/>
      </t>
    </mdx>
    <mdx n="0" f="v">
      <t c="6" si="37">
        <n x="1" s="1"/>
        <n x="2" s="1"/>
        <n x="38" s="1"/>
        <n x="35"/>
        <n x="29"/>
        <n x="39"/>
      </t>
    </mdx>
    <mdx n="0" f="v">
      <t c="7" si="37">
        <n x="1" s="1"/>
        <n x="2" s="1"/>
        <n x="38" s="1"/>
        <n x="3"/>
        <n x="32"/>
        <n x="29"/>
        <n x="39"/>
      </t>
    </mdx>
    <mdx n="0" f="v">
      <t c="6" si="37">
        <n x="1" s="1"/>
        <n x="2" s="1"/>
        <n x="38" s="1"/>
        <n x="3"/>
        <n x="29"/>
        <n x="39"/>
      </t>
    </mdx>
    <mdx n="0" f="v">
      <t c="7" si="37">
        <n x="1" s="1"/>
        <n x="2" s="1"/>
        <n x="38" s="1"/>
        <n x="3"/>
        <n x="36"/>
        <n x="29"/>
        <n x="39"/>
      </t>
    </mdx>
    <mdx n="0" f="v">
      <t c="7" si="37">
        <n x="1" s="1"/>
        <n x="2" s="1"/>
        <n x="38" s="1"/>
        <n x="3"/>
        <n x="15"/>
        <n x="29"/>
        <n x="39"/>
      </t>
    </mdx>
    <mdx n="0" f="v">
      <t c="6" si="37">
        <n x="1" s="1"/>
        <n x="2" s="1"/>
        <n x="38" s="1"/>
        <n x="16"/>
        <n x="29"/>
        <n x="39"/>
      </t>
    </mdx>
    <mdx n="0" f="v">
      <t c="7" si="37">
        <n x="1" s="1"/>
        <n x="2" s="1"/>
        <n x="38" s="1"/>
        <n x="3"/>
        <n x="14"/>
        <n x="29"/>
        <n x="39"/>
      </t>
    </mdx>
    <mdx n="0" f="v">
      <t c="7" si="37">
        <n x="1" s="1"/>
        <n x="2" s="1"/>
        <n x="38" s="1"/>
        <n x="16"/>
        <n x="19"/>
        <n x="29"/>
        <n x="39"/>
      </t>
    </mdx>
    <mdx n="0" f="v">
      <t c="7" si="37">
        <n x="1" s="1"/>
        <n x="2" s="1"/>
        <n x="38" s="1"/>
        <n x="3"/>
        <n x="5"/>
        <n x="29"/>
        <n x="39"/>
      </t>
    </mdx>
    <mdx n="0" f="v">
      <t c="7" si="37">
        <n x="1" s="1"/>
        <n x="2" s="1"/>
        <n x="38" s="1"/>
        <n x="3"/>
        <n x="18"/>
        <n x="29"/>
        <n x="39"/>
      </t>
    </mdx>
    <mdx n="0" f="v">
      <t c="6" si="37">
        <n x="1" s="1"/>
        <n x="2" s="1"/>
        <n x="38" s="1"/>
        <n x="27"/>
        <n x="29"/>
        <n x="39"/>
      </t>
    </mdx>
    <mdx n="0" f="v">
      <t c="7" si="37">
        <n x="1" s="1"/>
        <n x="2" s="1"/>
        <n x="38" s="1"/>
        <n x="3"/>
        <n x="7"/>
        <n x="29"/>
        <n x="39"/>
      </t>
    </mdx>
    <mdx n="0" f="v">
      <t c="7" si="37">
        <n x="1" s="1"/>
        <n x="2" s="1"/>
        <n x="38" s="1"/>
        <n x="22"/>
        <n x="25"/>
        <n x="29"/>
        <n x="39"/>
      </t>
    </mdx>
    <mdx n="0" f="v">
      <t c="6" si="37">
        <n x="1" s="1"/>
        <n x="2" s="1"/>
        <n x="38" s="1"/>
        <n x="22"/>
        <n x="33"/>
        <n x="39"/>
      </t>
    </mdx>
    <mdx n="0" f="v">
      <t c="7" si="37">
        <n x="1" s="1"/>
        <n x="2" s="1"/>
        <n x="38" s="1"/>
        <n x="16"/>
        <n x="19"/>
        <n x="33"/>
        <n x="39"/>
      </t>
    </mdx>
    <mdx n="0" f="v">
      <t c="7" si="37">
        <n x="1" s="1"/>
        <n x="2" s="1"/>
        <n x="38" s="1"/>
        <n x="3"/>
        <n x="5"/>
        <n x="33"/>
        <n x="39"/>
      </t>
    </mdx>
    <mdx n="0" f="v">
      <t c="7" si="37">
        <n x="1" s="1"/>
        <n x="2" s="1"/>
        <n x="38" s="1"/>
        <n x="3"/>
        <n x="32"/>
        <n x="33"/>
        <n x="39"/>
      </t>
    </mdx>
    <mdx n="0" f="v">
      <t c="7" si="37">
        <n x="1" s="1"/>
        <n x="2" s="1"/>
        <n x="38" s="1"/>
        <n x="3"/>
        <n x="14"/>
        <n x="33"/>
        <n x="39"/>
      </t>
    </mdx>
    <mdx n="0" f="v">
      <t c="6" si="37">
        <n x="1" s="1"/>
        <n x="2" s="1"/>
        <n x="38" s="1"/>
        <n x="35"/>
        <n x="33"/>
        <n x="39"/>
      </t>
    </mdx>
    <mdx n="0" f="v">
      <t c="7" si="37">
        <n x="1" s="1"/>
        <n x="2" s="1"/>
        <n x="38" s="1"/>
        <n x="3"/>
        <n x="15"/>
        <n x="33"/>
        <n x="39"/>
      </t>
    </mdx>
    <mdx n="0" f="v">
      <t c="6" si="37">
        <n x="1" s="1"/>
        <n x="2" s="1"/>
        <n x="38" s="1"/>
        <n x="16"/>
        <n x="33"/>
        <n x="39"/>
      </t>
    </mdx>
    <mdx n="0" f="v">
      <t c="7" si="37">
        <n x="1" s="1"/>
        <n x="2" s="1"/>
        <n x="38" s="1"/>
        <n x="22"/>
        <n x="25"/>
        <n x="33"/>
        <n x="39"/>
      </t>
    </mdx>
    <mdx n="0" f="v">
      <t c="6" si="37">
        <n x="1" s="1"/>
        <n x="2" s="1"/>
        <n x="38" s="1"/>
        <n x="3"/>
        <n x="33"/>
        <n x="39"/>
      </t>
    </mdx>
    <mdx n="0" f="v">
      <t c="7" si="37">
        <n x="1" s="1"/>
        <n x="2" s="1"/>
        <n x="38" s="1"/>
        <n x="3"/>
        <n x="36"/>
        <n x="33"/>
        <n x="39"/>
      </t>
    </mdx>
    <mdx n="0" f="v">
      <t c="7" si="37">
        <n x="1" s="1"/>
        <n x="2" s="1"/>
        <n x="38" s="1"/>
        <n x="3"/>
        <n x="18"/>
        <n x="33"/>
        <n x="39"/>
      </t>
    </mdx>
    <mdx n="0" f="v">
      <t c="6" si="37">
        <n x="1" s="1"/>
        <n x="2" s="1"/>
        <n x="38" s="1"/>
        <n x="27"/>
        <n x="33"/>
        <n x="39"/>
      </t>
    </mdx>
    <mdx n="0" f="v">
      <t c="7" si="37">
        <n x="1" s="1"/>
        <n x="2" s="1"/>
        <n x="38" s="1"/>
        <n x="3"/>
        <n x="7"/>
        <n x="33"/>
        <n x="39"/>
      </t>
    </mdx>
    <mdx n="0" f="v">
      <t c="6" si="37">
        <n x="1" s="1"/>
        <n x="2" s="1"/>
        <n x="38" s="1"/>
        <n x="22"/>
        <n x="33"/>
        <n x="40"/>
      </t>
    </mdx>
    <mdx n="0" f="v">
      <t c="7" si="37">
        <n x="1" s="1"/>
        <n x="2" s="1"/>
        <n x="38" s="1"/>
        <n x="22"/>
        <n x="25"/>
        <n x="33"/>
        <n x="40"/>
      </t>
    </mdx>
    <mdx n="0" f="v">
      <t c="7" si="37">
        <n x="1" s="1"/>
        <n x="2" s="1"/>
        <n x="38" s="1"/>
        <n x="3"/>
        <n x="5"/>
        <n x="33"/>
        <n x="40"/>
      </t>
    </mdx>
    <mdx n="0" f="v">
      <t c="6" si="37">
        <n x="1" s="1"/>
        <n x="2" s="1"/>
        <n x="38" s="1"/>
        <n x="27"/>
        <n x="33"/>
        <n x="40"/>
      </t>
    </mdx>
    <mdx n="0" f="v">
      <t c="7" si="37">
        <n x="1" s="1"/>
        <n x="2" s="1"/>
        <n x="38" s="1"/>
        <n x="3"/>
        <n x="14"/>
        <n x="33"/>
        <n x="40"/>
      </t>
    </mdx>
    <mdx n="0" f="v">
      <t c="6" si="37">
        <n x="1" s="1"/>
        <n x="2" s="1"/>
        <n x="38" s="1"/>
        <n x="35"/>
        <n x="33"/>
        <n x="40"/>
      </t>
    </mdx>
    <mdx n="0" f="v">
      <t c="7" si="37">
        <n x="1" s="1"/>
        <n x="2" s="1"/>
        <n x="38" s="1"/>
        <n x="3"/>
        <n x="32"/>
        <n x="33"/>
        <n x="40"/>
      </t>
    </mdx>
    <mdx n="0" f="v">
      <t c="7" si="37">
        <n x="1" s="1"/>
        <n x="2" s="1"/>
        <n x="38" s="1"/>
        <n x="16"/>
        <n x="19"/>
        <n x="33"/>
        <n x="40"/>
      </t>
    </mdx>
    <mdx n="0" f="v">
      <t c="7" si="37">
        <n x="1" s="1"/>
        <n x="2" s="1"/>
        <n x="38" s="1"/>
        <n x="3"/>
        <n x="18"/>
        <n x="33"/>
        <n x="40"/>
      </t>
    </mdx>
    <mdx n="0" f="v">
      <t c="6" si="37">
        <n x="1" s="1"/>
        <n x="2" s="1"/>
        <n x="38" s="1"/>
        <n x="3"/>
        <n x="33"/>
        <n x="40"/>
      </t>
    </mdx>
    <mdx n="0" f="v">
      <t c="7" si="37">
        <n x="1" s="1"/>
        <n x="2" s="1"/>
        <n x="38" s="1"/>
        <n x="3"/>
        <n x="36"/>
        <n x="33"/>
        <n x="40"/>
      </t>
    </mdx>
    <mdx n="0" f="v">
      <t c="7" si="37">
        <n x="1" s="1"/>
        <n x="2" s="1"/>
        <n x="38" s="1"/>
        <n x="3"/>
        <n x="7"/>
        <n x="33"/>
        <n x="40"/>
      </t>
    </mdx>
    <mdx n="0" f="v">
      <t c="7" si="37">
        <n x="1" s="1"/>
        <n x="2" s="1"/>
        <n x="38" s="1"/>
        <n x="3"/>
        <n x="15"/>
        <n x="33"/>
        <n x="40"/>
      </t>
    </mdx>
    <mdx n="0" f="v">
      <t c="6" si="37">
        <n x="1" s="1"/>
        <n x="2" s="1"/>
        <n x="38" s="1"/>
        <n x="16"/>
        <n x="33"/>
        <n x="40"/>
      </t>
    </mdx>
    <mdx n="0" f="v">
      <t c="6" si="37">
        <n x="1" s="1"/>
        <n x="2" s="1"/>
        <n x="38" s="1"/>
        <n x="22"/>
        <n x="29"/>
        <n x="41"/>
      </t>
    </mdx>
    <mdx n="0" f="v">
      <t c="7" si="37">
        <n x="1" s="1"/>
        <n x="2" s="1"/>
        <n x="38" s="1"/>
        <n x="16"/>
        <n x="19"/>
        <n x="29"/>
        <n x="41"/>
      </t>
    </mdx>
    <mdx n="0" f="v">
      <t c="7" si="37">
        <n x="1" s="1"/>
        <n x="2" s="1"/>
        <n x="38" s="1"/>
        <n x="3"/>
        <n x="15"/>
        <n x="29"/>
        <n x="41"/>
      </t>
    </mdx>
    <mdx n="0" f="v">
      <t c="6" si="37">
        <n x="1" s="1"/>
        <n x="2" s="1"/>
        <n x="38" s="1"/>
        <n x="27"/>
        <n x="29"/>
        <n x="41"/>
      </t>
    </mdx>
    <mdx n="0" f="v">
      <t c="7" si="37">
        <n x="1" s="1"/>
        <n x="2" s="1"/>
        <n x="38" s="1"/>
        <n x="22"/>
        <n x="25"/>
        <n x="29"/>
        <n x="41"/>
      </t>
    </mdx>
    <mdx n="0" f="v">
      <t c="6" si="37">
        <n x="1" s="1"/>
        <n x="2" s="1"/>
        <n x="38" s="1"/>
        <n x="16"/>
        <n x="29"/>
        <n x="41"/>
      </t>
    </mdx>
    <mdx n="0" f="v">
      <t c="7" si="37">
        <n x="1" s="1"/>
        <n x="2" s="1"/>
        <n x="38" s="1"/>
        <n x="3"/>
        <n x="7"/>
        <n x="29"/>
        <n x="41"/>
      </t>
    </mdx>
    <mdx n="0" f="v">
      <t c="6" si="37">
        <n x="1" s="1"/>
        <n x="2" s="1"/>
        <n x="38" s="1"/>
        <n x="35"/>
        <n x="29"/>
        <n x="41"/>
      </t>
    </mdx>
    <mdx n="0" f="v">
      <t c="6" si="37">
        <n x="1" s="1"/>
        <n x="2" s="1"/>
        <n x="38" s="1"/>
        <n x="3"/>
        <n x="29"/>
        <n x="41"/>
      </t>
    </mdx>
    <mdx n="0" f="v">
      <t c="7" si="37">
        <n x="1" s="1"/>
        <n x="2" s="1"/>
        <n x="38" s="1"/>
        <n x="3"/>
        <n x="14"/>
        <n x="29"/>
        <n x="41"/>
      </t>
    </mdx>
    <mdx n="0" f="v">
      <t c="7" si="37">
        <n x="1" s="1"/>
        <n x="2" s="1"/>
        <n x="38" s="1"/>
        <n x="3"/>
        <n x="5"/>
        <n x="29"/>
        <n x="41"/>
      </t>
    </mdx>
    <mdx n="0" f="v">
      <t c="7" si="37">
        <n x="1" s="1"/>
        <n x="2" s="1"/>
        <n x="38" s="1"/>
        <n x="3"/>
        <n x="18"/>
        <n x="29"/>
        <n x="41"/>
      </t>
    </mdx>
    <mdx n="0" f="v">
      <t c="7" si="37">
        <n x="1" s="1"/>
        <n x="2" s="1"/>
        <n x="38" s="1"/>
        <n x="3"/>
        <n x="36"/>
        <n x="29"/>
        <n x="41"/>
      </t>
    </mdx>
    <mdx n="0" f="v">
      <t c="7" si="37">
        <n x="1" s="1"/>
        <n x="2" s="1"/>
        <n x="38" s="1"/>
        <n x="3"/>
        <n x="32"/>
        <n x="29"/>
        <n x="41"/>
      </t>
    </mdx>
    <mdx n="0" f="v">
      <t c="6" si="37">
        <n x="1" s="1"/>
        <n x="2" s="1"/>
        <n x="38" s="1"/>
        <n x="22"/>
        <n x="33"/>
        <n x="41"/>
      </t>
    </mdx>
    <mdx n="0" f="v">
      <t c="7" si="37">
        <n x="1" s="1"/>
        <n x="2" s="1"/>
        <n x="38" s="1"/>
        <n x="3"/>
        <n x="7"/>
        <n x="33"/>
        <n x="41"/>
      </t>
    </mdx>
    <mdx n="0" f="v">
      <t c="6" si="37">
        <n x="1" s="1"/>
        <n x="2" s="1"/>
        <n x="38" s="1"/>
        <n x="16"/>
        <n x="33"/>
        <n x="41"/>
      </t>
    </mdx>
    <mdx n="0" f="v">
      <t c="6" si="37">
        <n x="1" s="1"/>
        <n x="2" s="1"/>
        <n x="38" s="1"/>
        <n x="27"/>
        <n x="33"/>
        <n x="41"/>
      </t>
    </mdx>
    <mdx n="0" f="v">
      <t c="7" si="37">
        <n x="1" s="1"/>
        <n x="2" s="1"/>
        <n x="38" s="1"/>
        <n x="3"/>
        <n x="15"/>
        <n x="33"/>
        <n x="41"/>
      </t>
    </mdx>
    <mdx n="0" f="v">
      <t c="7" si="37">
        <n x="1" s="1"/>
        <n x="2" s="1"/>
        <n x="38" s="1"/>
        <n x="22"/>
        <n x="25"/>
        <n x="33"/>
        <n x="41"/>
      </t>
    </mdx>
    <mdx n="0" f="v">
      <t c="7" si="37">
        <n x="1" s="1"/>
        <n x="2" s="1"/>
        <n x="38" s="1"/>
        <n x="3"/>
        <n x="14"/>
        <n x="33"/>
        <n x="41"/>
      </t>
    </mdx>
    <mdx n="0" f="v">
      <t c="7" si="37">
        <n x="1" s="1"/>
        <n x="2" s="1"/>
        <n x="38" s="1"/>
        <n x="16"/>
        <n x="19"/>
        <n x="33"/>
        <n x="41"/>
      </t>
    </mdx>
    <mdx n="0" f="v">
      <t c="6" si="37">
        <n x="1" s="1"/>
        <n x="2" s="1"/>
        <n x="38" s="1"/>
        <n x="35"/>
        <n x="33"/>
        <n x="41"/>
      </t>
    </mdx>
    <mdx n="0" f="v">
      <t c="6" si="37">
        <n x="1" s="1"/>
        <n x="2" s="1"/>
        <n x="38" s="1"/>
        <n x="3"/>
        <n x="33"/>
        <n x="41"/>
      </t>
    </mdx>
    <mdx n="0" f="v">
      <t c="7" si="37">
        <n x="1" s="1"/>
        <n x="2" s="1"/>
        <n x="38" s="1"/>
        <n x="3"/>
        <n x="32"/>
        <n x="33"/>
        <n x="41"/>
      </t>
    </mdx>
    <mdx n="0" f="v">
      <t c="7" si="37">
        <n x="1" s="1"/>
        <n x="2" s="1"/>
        <n x="38" s="1"/>
        <n x="3"/>
        <n x="5"/>
        <n x="33"/>
        <n x="41"/>
      </t>
    </mdx>
    <mdx n="0" f="v">
      <t c="7" si="37">
        <n x="1" s="1"/>
        <n x="2" s="1"/>
        <n x="38" s="1"/>
        <n x="3"/>
        <n x="18"/>
        <n x="33"/>
        <n x="41"/>
      </t>
    </mdx>
    <mdx n="0" f="v">
      <t c="7" si="37">
        <n x="1" s="1"/>
        <n x="2" s="1"/>
        <n x="38" s="1"/>
        <n x="3"/>
        <n x="36"/>
        <n x="33"/>
        <n x="41"/>
      </t>
    </mdx>
    <mdx n="0" f="v">
      <t c="6" si="37">
        <n x="1" s="1"/>
        <n x="2" s="1"/>
        <n x="38" s="1"/>
        <n x="22"/>
        <n x="33"/>
        <n x="42"/>
      </t>
    </mdx>
    <mdx n="0" f="v">
      <t c="7" si="37">
        <n x="1" s="1"/>
        <n x="2" s="1"/>
        <n x="38" s="1"/>
        <n x="3"/>
        <n x="36"/>
        <n x="33"/>
        <n x="42"/>
      </t>
    </mdx>
    <mdx n="0" f="v">
      <t c="7" si="37">
        <n x="1" s="1"/>
        <n x="2" s="1"/>
        <n x="38" s="1"/>
        <n x="3"/>
        <n x="15"/>
        <n x="33"/>
        <n x="42"/>
      </t>
    </mdx>
    <mdx n="0" f="v">
      <t c="7" si="37">
        <n x="1" s="1"/>
        <n x="2" s="1"/>
        <n x="38" s="1"/>
        <n x="3"/>
        <n x="32"/>
        <n x="33"/>
        <n x="42"/>
      </t>
    </mdx>
    <mdx n="0" f="v">
      <t c="6" si="37">
        <n x="1" s="1"/>
        <n x="2" s="1"/>
        <n x="38" s="1"/>
        <n x="27"/>
        <n x="33"/>
        <n x="42"/>
      </t>
    </mdx>
    <mdx n="0" f="v">
      <t c="7" si="37">
        <n x="1" s="1"/>
        <n x="2" s="1"/>
        <n x="38" s="1"/>
        <n x="16"/>
        <n x="19"/>
        <n x="33"/>
        <n x="42"/>
      </t>
    </mdx>
    <mdx n="0" f="v">
      <t c="7" si="37">
        <n x="1" s="1"/>
        <n x="2" s="1"/>
        <n x="38" s="1"/>
        <n x="3"/>
        <n x="18"/>
        <n x="33"/>
        <n x="42"/>
      </t>
    </mdx>
    <mdx n="0" f="v">
      <t c="7" si="37">
        <n x="1" s="1"/>
        <n x="2" s="1"/>
        <n x="38" s="1"/>
        <n x="22"/>
        <n x="25"/>
        <n x="33"/>
        <n x="42"/>
      </t>
    </mdx>
    <mdx n="0" f="v">
      <t c="7" si="37">
        <n x="1" s="1"/>
        <n x="2" s="1"/>
        <n x="38" s="1"/>
        <n x="3"/>
        <n x="7"/>
        <n x="33"/>
        <n x="42"/>
      </t>
    </mdx>
    <mdx n="0" f="v">
      <t c="7" si="37">
        <n x="1" s="1"/>
        <n x="2" s="1"/>
        <n x="38" s="1"/>
        <n x="3"/>
        <n x="14"/>
        <n x="33"/>
        <n x="42"/>
      </t>
    </mdx>
    <mdx n="0" f="v">
      <t c="6" si="37">
        <n x="1" s="1"/>
        <n x="2" s="1"/>
        <n x="38" s="1"/>
        <n x="16"/>
        <n x="33"/>
        <n x="42"/>
      </t>
    </mdx>
    <mdx n="0" f="v">
      <t c="7" si="37">
        <n x="1" s="1"/>
        <n x="2" s="1"/>
        <n x="38" s="1"/>
        <n x="3"/>
        <n x="5"/>
        <n x="33"/>
        <n x="42"/>
      </t>
    </mdx>
    <mdx n="0" f="v">
      <t c="6" si="37">
        <n x="1" s="1"/>
        <n x="2" s="1"/>
        <n x="38" s="1"/>
        <n x="35"/>
        <n x="33"/>
        <n x="42"/>
      </t>
    </mdx>
    <mdx n="0" f="v">
      <t c="6" si="37">
        <n x="1" s="1"/>
        <n x="2" s="1"/>
        <n x="38" s="1"/>
        <n x="3"/>
        <n x="33"/>
        <n x="42"/>
      </t>
    </mdx>
    <mdx n="0" f="v">
      <t c="7" si="37">
        <n x="1" s="1"/>
        <n x="2" s="1"/>
        <n x="38" s="1"/>
        <n x="3"/>
        <n x="15"/>
        <n x="33"/>
        <n x="43"/>
      </t>
    </mdx>
    <mdx n="0" f="v">
      <t c="6" si="37">
        <n x="1" s="1"/>
        <n x="2" s="1"/>
        <n x="38" s="1"/>
        <n x="16"/>
        <n x="33"/>
        <n x="43"/>
      </t>
    </mdx>
    <mdx n="0" f="v">
      <t c="7" si="37">
        <n x="1" s="1"/>
        <n x="2" s="1"/>
        <n x="38" s="1"/>
        <n x="3"/>
        <n x="7"/>
        <n x="33"/>
        <n x="43"/>
      </t>
    </mdx>
    <mdx n="0" f="v">
      <t c="6" si="37">
        <n x="1" s="1"/>
        <n x="2" s="1"/>
        <n x="38" s="1"/>
        <n x="27"/>
        <n x="33"/>
        <n x="43"/>
      </t>
    </mdx>
    <mdx n="0" f="v">
      <t c="7" si="37">
        <n x="1" s="1"/>
        <n x="2" s="1"/>
        <n x="38" s="1"/>
        <n x="3"/>
        <n x="32"/>
        <n x="33"/>
        <n x="43"/>
      </t>
    </mdx>
    <mdx n="0" f="v">
      <t c="7" si="37">
        <n x="1" s="1"/>
        <n x="2" s="1"/>
        <n x="38" s="1"/>
        <n x="16"/>
        <n x="19"/>
        <n x="33"/>
        <n x="43"/>
      </t>
    </mdx>
    <mdx n="0" f="v">
      <t c="6" si="37">
        <n x="1" s="1"/>
        <n x="2" s="1"/>
        <n x="38" s="1"/>
        <n x="35"/>
        <n x="33"/>
        <n x="43"/>
      </t>
    </mdx>
    <mdx n="0" f="v">
      <t c="7" si="37">
        <n x="1" s="1"/>
        <n x="2" s="1"/>
        <n x="38" s="1"/>
        <n x="3"/>
        <n x="14"/>
        <n x="33"/>
        <n x="43"/>
      </t>
    </mdx>
    <mdx n="0" f="v">
      <t c="7" si="37">
        <n x="1" s="1"/>
        <n x="2" s="1"/>
        <n x="38" s="1"/>
        <n x="3"/>
        <n x="5"/>
        <n x="33"/>
        <n x="43"/>
      </t>
    </mdx>
    <mdx n="0" f="v">
      <t c="7" si="37">
        <n x="1" s="1"/>
        <n x="2" s="1"/>
        <n x="38" s="1"/>
        <n x="3"/>
        <n x="36"/>
        <n x="33"/>
        <n x="43"/>
      </t>
    </mdx>
    <mdx n="0" f="v">
      <t c="6" si="37">
        <n x="1" s="1"/>
        <n x="2" s="1"/>
        <n x="38" s="1"/>
        <n x="3"/>
        <n x="33"/>
        <n x="43"/>
      </t>
    </mdx>
    <mdx n="0" f="v">
      <t c="7" si="37">
        <n x="1" s="1"/>
        <n x="2" s="1"/>
        <n x="38" s="1"/>
        <n x="3"/>
        <n x="18"/>
        <n x="33"/>
        <n x="43"/>
      </t>
    </mdx>
    <mdx n="0" f="v">
      <t c="7" si="37">
        <n x="1" s="1"/>
        <n x="2" s="1"/>
        <n x="38" s="1"/>
        <n x="22"/>
        <n x="25"/>
        <n x="33"/>
        <n x="43"/>
      </t>
    </mdx>
    <mdx n="0" f="v">
      <t c="6" si="37">
        <n x="1" s="1"/>
        <n x="2" s="1"/>
        <n x="38" s="1"/>
        <n x="22"/>
        <n x="29"/>
        <n x="43"/>
      </t>
    </mdx>
    <mdx n="0" f="v">
      <t c="6" si="37">
        <n x="1" s="1"/>
        <n x="2" s="1"/>
        <n x="38" s="1"/>
        <n x="16"/>
        <n x="29"/>
        <n x="43"/>
      </t>
    </mdx>
    <mdx n="0" f="v">
      <t c="7" si="37">
        <n x="1" s="1"/>
        <n x="2" s="1"/>
        <n x="38" s="1"/>
        <n x="3"/>
        <n x="15"/>
        <n x="29"/>
        <n x="43"/>
      </t>
    </mdx>
    <mdx n="0" f="v">
      <t c="7" si="37">
        <n x="1" s="1"/>
        <n x="2" s="1"/>
        <n x="38" s="1"/>
        <n x="3"/>
        <n x="7"/>
        <n x="29"/>
        <n x="43"/>
      </t>
    </mdx>
    <mdx n="0" f="v">
      <t c="7" si="37">
        <n x="1" s="1"/>
        <n x="2" s="1"/>
        <n x="38" s="1"/>
        <n x="3"/>
        <n x="5"/>
        <n x="29"/>
        <n x="43"/>
      </t>
    </mdx>
    <mdx n="0" f="v">
      <t c="6" si="37">
        <n x="1" s="1"/>
        <n x="2" s="1"/>
        <n x="38" s="1"/>
        <n x="35"/>
        <n x="29"/>
        <n x="43"/>
      </t>
    </mdx>
    <mdx n="0" f="v">
      <t c="6" si="37">
        <n x="1" s="1"/>
        <n x="2" s="1"/>
        <n x="38" s="1"/>
        <n x="3"/>
        <n x="29"/>
        <n x="43"/>
      </t>
    </mdx>
    <mdx n="0" f="v">
      <t c="7" si="37">
        <n x="1" s="1"/>
        <n x="2" s="1"/>
        <n x="38" s="1"/>
        <n x="3"/>
        <n x="36"/>
        <n x="29"/>
        <n x="43"/>
      </t>
    </mdx>
    <mdx n="0" f="v">
      <t c="7" si="37">
        <n x="1" s="1"/>
        <n x="2" s="1"/>
        <n x="38" s="1"/>
        <n x="3"/>
        <n x="32"/>
        <n x="29"/>
        <n x="43"/>
      </t>
    </mdx>
    <mdx n="0" f="v">
      <t c="7" si="37">
        <n x="1" s="1"/>
        <n x="2" s="1"/>
        <n x="38" s="1"/>
        <n x="3"/>
        <n x="14"/>
        <n x="29"/>
        <n x="43"/>
      </t>
    </mdx>
    <mdx n="0" f="v">
      <t c="7" si="37">
        <n x="1" s="1"/>
        <n x="2" s="1"/>
        <n x="38" s="1"/>
        <n x="3"/>
        <n x="18"/>
        <n x="29"/>
        <n x="43"/>
      </t>
    </mdx>
    <mdx n="0" f="v">
      <t c="7" si="37">
        <n x="1" s="1"/>
        <n x="2" s="1"/>
        <n x="38" s="1"/>
        <n x="22"/>
        <n x="25"/>
        <n x="29"/>
        <n x="43"/>
      </t>
    </mdx>
    <mdx n="0" f="v">
      <t c="6" si="37">
        <n x="1" s="1"/>
        <n x="2" s="1"/>
        <n x="38" s="1"/>
        <n x="27"/>
        <n x="29"/>
        <n x="43"/>
      </t>
    </mdx>
    <mdx n="0" f="v">
      <t c="7" si="37">
        <n x="1" s="1"/>
        <n x="2" s="1"/>
        <n x="38" s="1"/>
        <n x="16"/>
        <n x="19"/>
        <n x="29"/>
        <n x="43"/>
      </t>
    </mdx>
    <mdx n="0" f="v">
      <t c="6" si="37">
        <n x="1" s="1"/>
        <n x="2" s="1"/>
        <n x="38" s="1"/>
        <n x="22"/>
        <n x="29"/>
        <n x="42"/>
      </t>
    </mdx>
    <mdx n="0" f="v">
      <t c="7" si="37">
        <n x="1" s="1"/>
        <n x="2" s="1"/>
        <n x="38" s="1"/>
        <n x="3"/>
        <n x="15"/>
        <n x="29"/>
        <n x="42"/>
      </t>
    </mdx>
    <mdx n="0" f="v">
      <t c="7" si="37">
        <n x="1" s="1"/>
        <n x="2" s="1"/>
        <n x="38" s="1"/>
        <n x="3"/>
        <n x="32"/>
        <n x="29"/>
        <n x="42"/>
      </t>
    </mdx>
    <mdx n="0" f="v">
      <t c="6" si="37">
        <n x="1" s="1"/>
        <n x="2" s="1"/>
        <n x="38" s="1"/>
        <n x="16"/>
        <n x="29"/>
        <n x="42"/>
      </t>
    </mdx>
    <mdx n="0" f="v">
      <t c="7" si="37">
        <n x="1" s="1"/>
        <n x="2" s="1"/>
        <n x="38" s="1"/>
        <n x="3"/>
        <n x="7"/>
        <n x="29"/>
        <n x="42"/>
      </t>
    </mdx>
    <mdx n="0" f="v">
      <t c="7" si="37">
        <n x="1" s="1"/>
        <n x="2" s="1"/>
        <n x="38" s="1"/>
        <n x="3"/>
        <n x="18"/>
        <n x="29"/>
        <n x="42"/>
      </t>
    </mdx>
    <mdx n="0" f="v">
      <t c="7" si="37">
        <n x="1" s="1"/>
        <n x="2" s="1"/>
        <n x="38" s="1"/>
        <n x="22"/>
        <n x="25"/>
        <n x="29"/>
        <n x="42"/>
      </t>
    </mdx>
    <mdx n="0" f="v">
      <t c="6" si="37">
        <n x="1" s="1"/>
        <n x="2" s="1"/>
        <n x="38" s="1"/>
        <n x="27"/>
        <n x="29"/>
        <n x="42"/>
      </t>
    </mdx>
    <mdx n="0" f="v">
      <t c="7" si="37">
        <n x="1" s="1"/>
        <n x="2" s="1"/>
        <n x="38" s="1"/>
        <n x="3"/>
        <n x="5"/>
        <n x="29"/>
        <n x="42"/>
      </t>
    </mdx>
    <mdx n="0" f="v">
      <t c="6" si="37">
        <n x="1" s="1"/>
        <n x="2" s="1"/>
        <n x="38" s="1"/>
        <n x="35"/>
        <n x="29"/>
        <n x="42"/>
      </t>
    </mdx>
    <mdx n="0" f="v">
      <t c="6" si="37">
        <n x="1" s="1"/>
        <n x="2" s="1"/>
        <n x="38" s="1"/>
        <n x="3"/>
        <n x="29"/>
        <n x="42"/>
      </t>
    </mdx>
    <mdx n="0" f="v">
      <t c="7" si="37">
        <n x="1" s="1"/>
        <n x="2" s="1"/>
        <n x="38" s="1"/>
        <n x="3"/>
        <n x="36"/>
        <n x="29"/>
        <n x="42"/>
      </t>
    </mdx>
    <mdx n="0" f="v">
      <t c="7" si="37">
        <n x="1" s="1"/>
        <n x="2" s="1"/>
        <n x="38" s="1"/>
        <n x="3"/>
        <n x="14"/>
        <n x="29"/>
        <n x="42"/>
      </t>
    </mdx>
    <mdx n="0" f="v">
      <t c="7" si="37">
        <n x="1" s="1"/>
        <n x="2" s="1"/>
        <n x="38" s="1"/>
        <n x="16"/>
        <n x="19"/>
        <n x="29"/>
        <n x="42"/>
      </t>
    </mdx>
    <mdx n="0" f="v">
      <t c="6" si="37">
        <n x="1" s="1"/>
        <n x="2" s="1"/>
        <n x="38" s="1"/>
        <n x="22"/>
        <n x="29"/>
        <n x="40"/>
      </t>
    </mdx>
    <mdx n="0" f="v">
      <t c="7" si="37">
        <n x="1" s="1"/>
        <n x="2" s="1"/>
        <n x="38" s="1"/>
        <n x="22"/>
        <n x="25"/>
        <n x="29"/>
        <n x="40"/>
      </t>
    </mdx>
    <mdx n="0" f="v">
      <t c="7" si="37">
        <n x="1" s="1"/>
        <n x="2" s="1"/>
        <n x="38" s="1"/>
        <n x="3"/>
        <n x="7"/>
        <n x="29"/>
        <n x="40"/>
      </t>
    </mdx>
    <mdx n="0" f="v">
      <t c="7" si="37">
        <n x="1" s="1"/>
        <n x="2" s="1"/>
        <n x="38" s="1"/>
        <n x="3"/>
        <n x="14"/>
        <n x="29"/>
        <n x="40"/>
      </t>
    </mdx>
    <mdx n="0" f="v">
      <t c="7" si="37">
        <n x="1" s="1"/>
        <n x="2" s="1"/>
        <n x="38" s="1"/>
        <n x="3"/>
        <n x="18"/>
        <n x="29"/>
        <n x="40"/>
      </t>
    </mdx>
    <mdx n="0" f="v">
      <t c="6" si="37">
        <n x="1" s="1"/>
        <n x="2" s="1"/>
        <n x="38" s="1"/>
        <n x="27"/>
        <n x="29"/>
        <n x="40"/>
      </t>
    </mdx>
    <mdx n="0" f="v">
      <t c="7" si="37">
        <n x="1" s="1"/>
        <n x="2" s="1"/>
        <n x="38" s="1"/>
        <n x="16"/>
        <n x="19"/>
        <n x="29"/>
        <n x="40"/>
      </t>
    </mdx>
    <mdx n="0" f="v">
      <t c="7" si="37">
        <n x="1" s="1"/>
        <n x="2" s="1"/>
        <n x="38" s="1"/>
        <n x="3"/>
        <n x="5"/>
        <n x="29"/>
        <n x="40"/>
      </t>
    </mdx>
    <mdx n="0" f="v">
      <t c="7" si="37">
        <n x="1" s="1"/>
        <n x="2" s="1"/>
        <n x="38" s="1"/>
        <n x="3"/>
        <n x="36"/>
        <n x="29"/>
        <n x="40"/>
      </t>
    </mdx>
    <mdx n="0" f="v">
      <t c="6" si="37">
        <n x="1" s="1"/>
        <n x="2" s="1"/>
        <n x="38" s="1"/>
        <n x="3"/>
        <n x="29"/>
        <n x="40"/>
      </t>
    </mdx>
    <mdx n="0" f="v">
      <t c="7" si="37">
        <n x="1" s="1"/>
        <n x="2" s="1"/>
        <n x="38" s="1"/>
        <n x="3"/>
        <n x="15"/>
        <n x="29"/>
        <n x="40"/>
      </t>
    </mdx>
    <mdx n="0" f="v">
      <t c="6" si="37">
        <n x="1" s="1"/>
        <n x="2" s="1"/>
        <n x="38" s="1"/>
        <n x="16"/>
        <n x="29"/>
        <n x="40"/>
      </t>
    </mdx>
    <mdx n="0" f="v">
      <t c="7" si="37">
        <n x="1" s="1"/>
        <n x="2" s="1"/>
        <n x="38" s="1"/>
        <n x="3"/>
        <n x="32"/>
        <n x="29"/>
        <n x="40"/>
      </t>
    </mdx>
    <mdx n="0" f="v">
      <t c="6" si="37">
        <n x="1" s="1"/>
        <n x="2" s="1"/>
        <n x="38" s="1"/>
        <n x="35"/>
        <n x="29"/>
        <n x="40"/>
      </t>
    </mdx>
    <mdx n="0" f="v">
      <t c="5" si="37">
        <n x="1" s="1"/>
        <n x="2" s="1"/>
        <n x="3"/>
        <n x="6"/>
        <n x="29"/>
      </t>
    </mdx>
    <mdx n="0" f="v">
      <t c="5" si="37">
        <n x="1" s="1"/>
        <n x="2" s="1"/>
        <n x="3"/>
        <n x="5"/>
        <n x="29"/>
      </t>
    </mdx>
    <mdx n="0" f="v">
      <t c="4" si="37">
        <n x="1" s="1"/>
        <n x="2" s="1"/>
        <n x="16"/>
        <n x="29"/>
      </t>
    </mdx>
    <mdx n="0" f="v">
      <t c="4" si="37">
        <n x="1" s="1"/>
        <n x="2" s="1"/>
        <n x="35"/>
        <n x="29"/>
      </t>
    </mdx>
    <mdx n="0" f="v">
      <t c="4" si="37">
        <n x="1" s="1"/>
        <n x="2" s="1"/>
        <n x="22"/>
        <n x="29"/>
      </t>
    </mdx>
    <mdx n="0" f="v">
      <t c="4" si="37">
        <n x="1" s="1"/>
        <n x="2" s="1"/>
        <n x="27"/>
        <n x="29"/>
      </t>
    </mdx>
    <mdx n="0" f="v">
      <t c="5" si="37">
        <n x="1" s="1"/>
        <n x="2" s="1"/>
        <n x="3"/>
        <n x="24"/>
        <n x="29"/>
      </t>
    </mdx>
    <mdx n="0" f="v">
      <t c="5" si="37">
        <n x="1" s="1"/>
        <n x="2" s="1"/>
        <n x="30"/>
        <n x="31"/>
        <n x="29"/>
      </t>
    </mdx>
    <mdx n="0" f="v">
      <t c="5" si="37">
        <n x="1" s="1"/>
        <n x="2" s="1"/>
        <n x="3"/>
        <n x="18"/>
        <n x="29"/>
      </t>
    </mdx>
    <mdx n="0" f="v">
      <t c="5" si="37">
        <n x="1" s="1"/>
        <n x="2" s="1"/>
        <n x="3"/>
        <n x="36"/>
        <n x="29"/>
      </t>
    </mdx>
    <mdx n="0" f="v">
      <t c="5" si="37">
        <n x="1" s="1"/>
        <n x="2" s="1"/>
        <n x="3"/>
        <n x="14"/>
        <n x="29"/>
      </t>
    </mdx>
    <mdx n="0" f="v">
      <t c="5" si="37">
        <n x="1" s="1"/>
        <n x="2" s="1"/>
        <n x="3"/>
        <n x="20"/>
        <n x="29"/>
      </t>
    </mdx>
    <mdx n="0" f="v">
      <t c="5" si="37">
        <n x="1" s="1"/>
        <n x="2" s="1"/>
        <n x="3"/>
        <n x="32"/>
        <n x="29"/>
      </t>
    </mdx>
    <mdx n="0" f="v">
      <t c="5" si="37">
        <n x="1" s="1"/>
        <n x="2" s="1"/>
        <n x="3"/>
        <n x="9"/>
        <n x="29"/>
      </t>
    </mdx>
    <mdx n="0" f="v">
      <t c="5" si="37">
        <n x="1" s="1"/>
        <n x="2" s="1"/>
        <n x="3"/>
        <n x="28"/>
        <n x="29"/>
      </t>
    </mdx>
    <mdx n="0" f="v">
      <t c="5" si="37">
        <n x="1" s="1"/>
        <n x="2" s="1"/>
        <n x="3"/>
        <n x="26"/>
        <n x="29"/>
      </t>
    </mdx>
    <mdx n="0" f="v">
      <t c="5" si="37">
        <n x="1" s="1"/>
        <n x="2" s="1"/>
        <n x="22"/>
        <n x="25"/>
        <n x="29"/>
      </t>
    </mdx>
    <mdx n="0" f="v">
      <t c="5" si="37">
        <n x="1" s="1"/>
        <n x="2" s="1"/>
        <n x="3"/>
        <n x="4"/>
        <n x="29"/>
      </t>
    </mdx>
    <mdx n="0" f="v">
      <t c="5" si="37">
        <n x="1" s="1"/>
        <n x="2" s="1"/>
        <n x="3"/>
        <n x="11"/>
        <n x="29"/>
      </t>
    </mdx>
    <mdx n="0" f="v">
      <t c="5" si="37">
        <n x="1" s="1"/>
        <n x="2" s="1"/>
        <n x="3"/>
        <n x="8"/>
        <n x="29"/>
      </t>
    </mdx>
    <mdx n="0" f="v">
      <t c="4" si="37">
        <n x="1" s="1"/>
        <n x="2" s="1"/>
        <n x="30"/>
        <n x="29"/>
      </t>
    </mdx>
    <mdx n="0" f="v">
      <t c="5" si="37">
        <n x="1" s="1"/>
        <n x="2" s="1"/>
        <n x="3"/>
        <n x="12"/>
        <n x="29"/>
      </t>
    </mdx>
    <mdx n="0" f="v">
      <t c="5" si="37">
        <n x="1" s="1"/>
        <n x="2" s="1"/>
        <n x="16"/>
        <n x="19"/>
        <n x="29"/>
      </t>
    </mdx>
    <mdx n="0" f="v">
      <t c="5" si="37">
        <n x="1" s="1"/>
        <n x="2" s="1"/>
        <n x="3"/>
        <n x="34"/>
        <n x="29"/>
      </t>
    </mdx>
    <mdx n="0" f="v">
      <t c="5" si="37">
        <n x="1" s="1"/>
        <n x="2" s="1"/>
        <n x="16"/>
        <n x="17"/>
        <n x="29"/>
      </t>
    </mdx>
    <mdx n="0" f="v">
      <t c="5" si="37">
        <n x="1" s="1"/>
        <n x="2" s="1"/>
        <n x="3"/>
        <n x="13"/>
        <n x="29"/>
      </t>
    </mdx>
    <mdx n="0" f="v">
      <t c="5" si="37">
        <n x="1" s="1"/>
        <n x="2" s="1"/>
        <n x="3"/>
        <n x="15"/>
        <n x="29"/>
      </t>
    </mdx>
    <mdx n="0" f="v">
      <t c="5" si="37">
        <n x="1" s="1"/>
        <n x="2" s="1"/>
        <n x="3"/>
        <n x="21"/>
        <n x="29"/>
      </t>
    </mdx>
    <mdx n="0" f="v">
      <t c="5" si="37">
        <n x="1" s="1"/>
        <n x="2" s="1"/>
        <n x="3"/>
        <n x="10"/>
        <n x="29"/>
      </t>
    </mdx>
    <mdx n="0" f="v">
      <t c="5" si="37">
        <n x="1" s="1"/>
        <n x="2" s="1"/>
        <n x="3"/>
        <n x="7"/>
        <n x="29"/>
      </t>
    </mdx>
    <mdx n="0" f="v">
      <t c="4" si="37">
        <n x="1" s="1"/>
        <n x="2" s="1"/>
        <n x="3"/>
        <n x="29"/>
      </t>
    </mdx>
    <mdx n="0" f="v">
      <t c="5" si="37">
        <n x="1" s="1"/>
        <n x="2" s="1"/>
        <n x="22"/>
        <n x="23"/>
        <n x="29"/>
      </t>
    </mdx>
    <mdx n="0" f="m">
      <t c="2">
        <n x="43"/>
        <n x="33"/>
      </t>
    </mdx>
    <mdx n="0" f="m">
      <t c="2">
        <n x="43"/>
        <n x="29"/>
      </t>
    </mdx>
    <mdx n="0" f="m">
      <t c="2">
        <n x="42"/>
        <n x="33"/>
      </t>
    </mdx>
    <mdx n="0" f="m">
      <t c="2">
        <n x="42"/>
        <n x="29"/>
      </t>
    </mdx>
    <mdx n="0" f="m">
      <t c="2">
        <n x="41"/>
        <n x="33"/>
      </t>
    </mdx>
    <mdx n="0" f="m">
      <t c="2">
        <n x="41"/>
        <n x="29"/>
      </t>
    </mdx>
    <mdx n="0" f="m">
      <t c="2">
        <n x="40"/>
        <n x="33"/>
      </t>
    </mdx>
    <mdx n="0" f="m">
      <t c="2">
        <n x="40"/>
        <n x="29"/>
      </t>
    </mdx>
    <mdx n="0" f="m">
      <t c="2">
        <n x="39"/>
        <n x="33"/>
      </t>
    </mdx>
    <mdx n="0" f="m">
      <t c="2">
        <n x="39"/>
        <n x="29"/>
      </t>
    </mdx>
    <mdx n="0" f="v">
      <t c="6" si="37">
        <n x="1" s="1"/>
        <n x="2" s="1"/>
        <n x="38" s="1"/>
        <n x="22"/>
        <n x="43"/>
        <n x="33"/>
      </t>
    </mdx>
    <mdx n="0" f="v">
      <t c="6" si="37">
        <n x="1" s="1"/>
        <n x="2" s="1"/>
        <n x="38" s="1"/>
        <n x="22"/>
        <n x="43"/>
        <n x="29"/>
      </t>
    </mdx>
    <mdx n="0" f="v">
      <t c="6" si="37">
        <n x="1" s="1"/>
        <n x="2" s="1"/>
        <n x="38" s="1"/>
        <n x="22"/>
        <n x="42"/>
        <n x="33"/>
      </t>
    </mdx>
    <mdx n="0" f="v">
      <t c="6" si="37">
        <n x="1" s="1"/>
        <n x="2" s="1"/>
        <n x="38" s="1"/>
        <n x="22"/>
        <n x="42"/>
        <n x="29"/>
      </t>
    </mdx>
    <mdx n="0" f="v">
      <t c="6" si="37">
        <n x="1" s="1"/>
        <n x="2" s="1"/>
        <n x="38" s="1"/>
        <n x="22"/>
        <n x="41"/>
        <n x="33"/>
      </t>
    </mdx>
    <mdx n="0" f="v">
      <t c="6" si="37">
        <n x="1" s="1"/>
        <n x="2" s="1"/>
        <n x="38" s="1"/>
        <n x="22"/>
        <n x="41"/>
        <n x="29"/>
      </t>
    </mdx>
    <mdx n="0" f="v">
      <t c="6" si="37">
        <n x="1" s="1"/>
        <n x="2" s="1"/>
        <n x="38" s="1"/>
        <n x="22"/>
        <n x="40"/>
        <n x="33"/>
      </t>
    </mdx>
    <mdx n="0" f="v">
      <t c="6" si="37">
        <n x="1" s="1"/>
        <n x="2" s="1"/>
        <n x="38" s="1"/>
        <n x="22"/>
        <n x="40"/>
        <n x="29"/>
      </t>
    </mdx>
    <mdx n="0" f="v">
      <t c="6" si="37">
        <n x="1" s="1"/>
        <n x="2" s="1"/>
        <n x="38" s="1"/>
        <n x="22"/>
        <n x="39"/>
        <n x="33"/>
      </t>
    </mdx>
    <mdx n="0" f="v">
      <t c="6" si="37">
        <n x="1" s="1"/>
        <n x="2" s="1"/>
        <n x="38" s="1"/>
        <n x="22"/>
        <n x="39"/>
        <n x="29"/>
      </t>
    </mdx>
    <mdx n="0" f="v">
      <t c="6" si="37">
        <n x="1" s="1"/>
        <n x="2" s="1"/>
        <n x="38" s="1"/>
        <n x="16"/>
        <n x="43"/>
        <n x="33"/>
      </t>
    </mdx>
    <mdx n="0" f="v">
      <t c="6" si="37">
        <n x="1" s="1"/>
        <n x="2" s="1"/>
        <n x="38" s="1"/>
        <n x="16"/>
        <n x="43"/>
        <n x="29"/>
      </t>
    </mdx>
    <mdx n="0" f="v">
      <t c="6" si="37">
        <n x="1" s="1"/>
        <n x="2" s="1"/>
        <n x="38" s="1"/>
        <n x="16"/>
        <n x="42"/>
        <n x="33"/>
      </t>
    </mdx>
    <mdx n="0" f="v">
      <t c="6" si="37">
        <n x="1" s="1"/>
        <n x="2" s="1"/>
        <n x="38" s="1"/>
        <n x="16"/>
        <n x="42"/>
        <n x="29"/>
      </t>
    </mdx>
    <mdx n="0" f="v">
      <t c="6" si="37">
        <n x="1" s="1"/>
        <n x="2" s="1"/>
        <n x="38" s="1"/>
        <n x="16"/>
        <n x="41"/>
        <n x="33"/>
      </t>
    </mdx>
    <mdx n="0" f="v">
      <t c="6" si="37">
        <n x="1" s="1"/>
        <n x="2" s="1"/>
        <n x="38" s="1"/>
        <n x="16"/>
        <n x="41"/>
        <n x="29"/>
      </t>
    </mdx>
    <mdx n="0" f="v">
      <t c="6" si="37">
        <n x="1" s="1"/>
        <n x="2" s="1"/>
        <n x="38" s="1"/>
        <n x="16"/>
        <n x="40"/>
        <n x="33"/>
      </t>
    </mdx>
    <mdx n="0" f="v">
      <t c="6" si="37">
        <n x="1" s="1"/>
        <n x="2" s="1"/>
        <n x="38" s="1"/>
        <n x="16"/>
        <n x="40"/>
        <n x="29"/>
      </t>
    </mdx>
    <mdx n="0" f="v">
      <t c="6" si="37">
        <n x="1" s="1"/>
        <n x="2" s="1"/>
        <n x="38" s="1"/>
        <n x="16"/>
        <n x="39"/>
        <n x="33"/>
      </t>
    </mdx>
    <mdx n="0" f="v">
      <t c="6" si="37">
        <n x="1" s="1"/>
        <n x="2" s="1"/>
        <n x="38" s="1"/>
        <n x="16"/>
        <n x="39"/>
        <n x="29"/>
      </t>
    </mdx>
    <mdx n="0" f="v">
      <t c="7" si="37">
        <n x="1" s="1"/>
        <n x="2" s="1"/>
        <n x="38" s="1"/>
        <n x="16"/>
        <n x="19"/>
        <n x="43"/>
        <n x="33"/>
      </t>
    </mdx>
    <mdx n="0" f="v">
      <t c="7" si="37">
        <n x="1" s="1"/>
        <n x="2" s="1"/>
        <n x="38" s="1"/>
        <n x="16"/>
        <n x="19"/>
        <n x="43"/>
        <n x="29"/>
      </t>
    </mdx>
    <mdx n="0" f="v">
      <t c="7" si="37">
        <n x="1" s="1"/>
        <n x="2" s="1"/>
        <n x="38" s="1"/>
        <n x="16"/>
        <n x="19"/>
        <n x="42"/>
        <n x="33"/>
      </t>
    </mdx>
    <mdx n="0" f="v">
      <t c="7" si="37">
        <n x="1" s="1"/>
        <n x="2" s="1"/>
        <n x="38" s="1"/>
        <n x="16"/>
        <n x="19"/>
        <n x="42"/>
        <n x="29"/>
      </t>
    </mdx>
    <mdx n="0" f="v">
      <t c="7" si="37">
        <n x="1" s="1"/>
        <n x="2" s="1"/>
        <n x="38" s="1"/>
        <n x="16"/>
        <n x="19"/>
        <n x="41"/>
        <n x="33"/>
      </t>
    </mdx>
    <mdx n="0" f="v">
      <t c="7" si="37">
        <n x="1" s="1"/>
        <n x="2" s="1"/>
        <n x="38" s="1"/>
        <n x="16"/>
        <n x="19"/>
        <n x="41"/>
        <n x="29"/>
      </t>
    </mdx>
    <mdx n="0" f="v">
      <t c="7" si="37">
        <n x="1" s="1"/>
        <n x="2" s="1"/>
        <n x="38" s="1"/>
        <n x="16"/>
        <n x="19"/>
        <n x="40"/>
        <n x="33"/>
      </t>
    </mdx>
    <mdx n="0" f="v">
      <t c="7" si="37">
        <n x="1" s="1"/>
        <n x="2" s="1"/>
        <n x="38" s="1"/>
        <n x="16"/>
        <n x="19"/>
        <n x="40"/>
        <n x="29"/>
      </t>
    </mdx>
    <mdx n="0" f="v">
      <t c="7" si="37">
        <n x="1" s="1"/>
        <n x="2" s="1"/>
        <n x="38" s="1"/>
        <n x="16"/>
        <n x="19"/>
        <n x="39"/>
        <n x="33"/>
      </t>
    </mdx>
    <mdx n="0" f="v">
      <t c="7" si="37">
        <n x="1" s="1"/>
        <n x="2" s="1"/>
        <n x="38" s="1"/>
        <n x="16"/>
        <n x="19"/>
        <n x="39"/>
        <n x="29"/>
      </t>
    </mdx>
    <mdx n="0" f="v">
      <t c="6" si="37">
        <n x="1" s="1"/>
        <n x="2" s="1"/>
        <n x="38" s="1"/>
        <n x="3"/>
        <n x="43"/>
        <n x="33"/>
      </t>
    </mdx>
    <mdx n="0" f="v">
      <t c="6" si="37">
        <n x="1" s="1"/>
        <n x="2" s="1"/>
        <n x="38" s="1"/>
        <n x="3"/>
        <n x="43"/>
        <n x="29"/>
      </t>
    </mdx>
    <mdx n="0" f="v">
      <t c="6" si="37">
        <n x="1" s="1"/>
        <n x="2" s="1"/>
        <n x="38" s="1"/>
        <n x="3"/>
        <n x="42"/>
        <n x="33"/>
      </t>
    </mdx>
    <mdx n="0" f="v">
      <t c="6" si="37">
        <n x="1" s="1"/>
        <n x="2" s="1"/>
        <n x="38" s="1"/>
        <n x="3"/>
        <n x="42"/>
        <n x="29"/>
      </t>
    </mdx>
    <mdx n="0" f="v">
      <t c="6" si="37">
        <n x="1" s="1"/>
        <n x="2" s="1"/>
        <n x="38" s="1"/>
        <n x="3"/>
        <n x="41"/>
        <n x="33"/>
      </t>
    </mdx>
    <mdx n="0" f="v">
      <t c="6" si="37">
        <n x="1" s="1"/>
        <n x="2" s="1"/>
        <n x="38" s="1"/>
        <n x="3"/>
        <n x="41"/>
        <n x="29"/>
      </t>
    </mdx>
    <mdx n="0" f="v">
      <t c="6" si="37">
        <n x="1" s="1"/>
        <n x="2" s="1"/>
        <n x="38" s="1"/>
        <n x="3"/>
        <n x="40"/>
        <n x="33"/>
      </t>
    </mdx>
    <mdx n="0" f="v">
      <t c="6" si="37">
        <n x="1" s="1"/>
        <n x="2" s="1"/>
        <n x="38" s="1"/>
        <n x="3"/>
        <n x="40"/>
        <n x="29"/>
      </t>
    </mdx>
    <mdx n="0" f="v">
      <t c="6" si="37">
        <n x="1" s="1"/>
        <n x="2" s="1"/>
        <n x="38" s="1"/>
        <n x="3"/>
        <n x="39"/>
        <n x="33"/>
      </t>
    </mdx>
    <mdx n="0" f="v">
      <t c="6" si="37">
        <n x="1" s="1"/>
        <n x="2" s="1"/>
        <n x="38" s="1"/>
        <n x="3"/>
        <n x="39"/>
        <n x="29"/>
      </t>
    </mdx>
    <mdx n="0" f="v">
      <t c="7" si="37">
        <n x="1" s="1"/>
        <n x="2" s="1"/>
        <n x="38" s="1"/>
        <n x="3"/>
        <n x="7"/>
        <n x="43"/>
        <n x="33"/>
      </t>
    </mdx>
    <mdx n="0" f="v">
      <t c="7" si="37">
        <n x="1" s="1"/>
        <n x="2" s="1"/>
        <n x="38" s="1"/>
        <n x="3"/>
        <n x="7"/>
        <n x="43"/>
        <n x="29"/>
      </t>
    </mdx>
    <mdx n="0" f="v">
      <t c="7" si="37">
        <n x="1" s="1"/>
        <n x="2" s="1"/>
        <n x="38" s="1"/>
        <n x="3"/>
        <n x="7"/>
        <n x="42"/>
        <n x="33"/>
      </t>
    </mdx>
    <mdx n="0" f="v">
      <t c="7" si="37">
        <n x="1" s="1"/>
        <n x="2" s="1"/>
        <n x="38" s="1"/>
        <n x="3"/>
        <n x="7"/>
        <n x="42"/>
        <n x="29"/>
      </t>
    </mdx>
    <mdx n="0" f="v">
      <t c="7" si="37">
        <n x="1" s="1"/>
        <n x="2" s="1"/>
        <n x="38" s="1"/>
        <n x="3"/>
        <n x="7"/>
        <n x="41"/>
        <n x="33"/>
      </t>
    </mdx>
    <mdx n="0" f="v">
      <t c="7" si="37">
        <n x="1" s="1"/>
        <n x="2" s="1"/>
        <n x="38" s="1"/>
        <n x="3"/>
        <n x="7"/>
        <n x="41"/>
        <n x="29"/>
      </t>
    </mdx>
    <mdx n="0" f="v">
      <t c="7" si="37">
        <n x="1" s="1"/>
        <n x="2" s="1"/>
        <n x="38" s="1"/>
        <n x="3"/>
        <n x="7"/>
        <n x="40"/>
        <n x="33"/>
      </t>
    </mdx>
    <mdx n="0" f="v">
      <t c="7" si="37">
        <n x="1" s="1"/>
        <n x="2" s="1"/>
        <n x="38" s="1"/>
        <n x="3"/>
        <n x="7"/>
        <n x="40"/>
        <n x="29"/>
      </t>
    </mdx>
    <mdx n="0" f="v">
      <t c="7" si="37">
        <n x="1" s="1"/>
        <n x="2" s="1"/>
        <n x="38" s="1"/>
        <n x="3"/>
        <n x="7"/>
        <n x="39"/>
        <n x="33"/>
      </t>
    </mdx>
    <mdx n="0" f="v">
      <t c="7" si="37">
        <n x="1" s="1"/>
        <n x="2" s="1"/>
        <n x="38" s="1"/>
        <n x="3"/>
        <n x="7"/>
        <n x="39"/>
        <n x="29"/>
      </t>
    </mdx>
    <mdx n="0" f="v">
      <t c="7" si="37">
        <n x="1" s="1"/>
        <n x="2" s="1"/>
        <n x="38" s="1"/>
        <n x="3"/>
        <n x="5"/>
        <n x="43"/>
        <n x="33"/>
      </t>
    </mdx>
    <mdx n="0" f="v">
      <t c="7" si="37">
        <n x="1" s="1"/>
        <n x="2" s="1"/>
        <n x="38" s="1"/>
        <n x="3"/>
        <n x="5"/>
        <n x="43"/>
        <n x="29"/>
      </t>
    </mdx>
    <mdx n="0" f="v">
      <t c="7" si="37">
        <n x="1" s="1"/>
        <n x="2" s="1"/>
        <n x="38" s="1"/>
        <n x="3"/>
        <n x="5"/>
        <n x="42"/>
        <n x="33"/>
      </t>
    </mdx>
    <mdx n="0" f="v">
      <t c="7" si="37">
        <n x="1" s="1"/>
        <n x="2" s="1"/>
        <n x="38" s="1"/>
        <n x="3"/>
        <n x="5"/>
        <n x="42"/>
        <n x="29"/>
      </t>
    </mdx>
    <mdx n="0" f="v">
      <t c="7" si="37">
        <n x="1" s="1"/>
        <n x="2" s="1"/>
        <n x="38" s="1"/>
        <n x="3"/>
        <n x="5"/>
        <n x="41"/>
        <n x="33"/>
      </t>
    </mdx>
    <mdx n="0" f="v">
      <t c="7" si="37">
        <n x="1" s="1"/>
        <n x="2" s="1"/>
        <n x="38" s="1"/>
        <n x="3"/>
        <n x="5"/>
        <n x="41"/>
        <n x="29"/>
      </t>
    </mdx>
    <mdx n="0" f="v">
      <t c="7" si="37">
        <n x="1" s="1"/>
        <n x="2" s="1"/>
        <n x="38" s="1"/>
        <n x="3"/>
        <n x="5"/>
        <n x="40"/>
        <n x="33"/>
      </t>
    </mdx>
    <mdx n="0" f="v">
      <t c="7" si="37">
        <n x="1" s="1"/>
        <n x="2" s="1"/>
        <n x="38" s="1"/>
        <n x="3"/>
        <n x="5"/>
        <n x="40"/>
        <n x="29"/>
      </t>
    </mdx>
    <mdx n="0" f="v">
      <t c="7" si="37">
        <n x="1" s="1"/>
        <n x="2" s="1"/>
        <n x="38" s="1"/>
        <n x="3"/>
        <n x="5"/>
        <n x="39"/>
        <n x="33"/>
      </t>
    </mdx>
    <mdx n="0" f="v">
      <t c="7" si="37">
        <n x="1" s="1"/>
        <n x="2" s="1"/>
        <n x="38" s="1"/>
        <n x="3"/>
        <n x="5"/>
        <n x="39"/>
        <n x="29"/>
      </t>
    </mdx>
    <mdx n="0" f="v">
      <t c="7" si="37">
        <n x="1" s="1"/>
        <n x="2" s="1"/>
        <n x="38" s="1"/>
        <n x="3"/>
        <n x="36"/>
        <n x="43"/>
        <n x="33"/>
      </t>
    </mdx>
    <mdx n="0" f="v">
      <t c="7" si="37">
        <n x="1" s="1"/>
        <n x="2" s="1"/>
        <n x="38" s="1"/>
        <n x="3"/>
        <n x="36"/>
        <n x="43"/>
        <n x="29"/>
      </t>
    </mdx>
    <mdx n="0" f="v">
      <t c="7" si="37">
        <n x="1" s="1"/>
        <n x="2" s="1"/>
        <n x="38" s="1"/>
        <n x="3"/>
        <n x="36"/>
        <n x="42"/>
        <n x="33"/>
      </t>
    </mdx>
    <mdx n="0" f="v">
      <t c="7" si="37">
        <n x="1" s="1"/>
        <n x="2" s="1"/>
        <n x="38" s="1"/>
        <n x="3"/>
        <n x="36"/>
        <n x="42"/>
        <n x="29"/>
      </t>
    </mdx>
    <mdx n="0" f="v">
      <t c="7" si="37">
        <n x="1" s="1"/>
        <n x="2" s="1"/>
        <n x="38" s="1"/>
        <n x="3"/>
        <n x="36"/>
        <n x="41"/>
        <n x="33"/>
      </t>
    </mdx>
    <mdx n="0" f="v">
      <t c="7" si="37">
        <n x="1" s="1"/>
        <n x="2" s="1"/>
        <n x="38" s="1"/>
        <n x="3"/>
        <n x="36"/>
        <n x="41"/>
        <n x="29"/>
      </t>
    </mdx>
    <mdx n="0" f="v">
      <t c="7" si="37">
        <n x="1" s="1"/>
        <n x="2" s="1"/>
        <n x="38" s="1"/>
        <n x="3"/>
        <n x="36"/>
        <n x="40"/>
        <n x="33"/>
      </t>
    </mdx>
    <mdx n="0" f="v">
      <t c="7" si="37">
        <n x="1" s="1"/>
        <n x="2" s="1"/>
        <n x="38" s="1"/>
        <n x="3"/>
        <n x="36"/>
        <n x="40"/>
        <n x="29"/>
      </t>
    </mdx>
    <mdx n="0" f="v">
      <t c="7" si="37">
        <n x="1" s="1"/>
        <n x="2" s="1"/>
        <n x="38" s="1"/>
        <n x="3"/>
        <n x="36"/>
        <n x="39"/>
        <n x="33"/>
      </t>
    </mdx>
    <mdx n="0" f="v">
      <t c="7" si="37">
        <n x="1" s="1"/>
        <n x="2" s="1"/>
        <n x="38" s="1"/>
        <n x="3"/>
        <n x="36"/>
        <n x="39"/>
        <n x="29"/>
      </t>
    </mdx>
    <mdx n="0" f="v">
      <t c="7" si="37">
        <n x="1" s="1"/>
        <n x="2" s="1"/>
        <n x="38" s="1"/>
        <n x="3"/>
        <n x="32"/>
        <n x="43"/>
        <n x="33"/>
      </t>
    </mdx>
    <mdx n="0" f="v">
      <t c="7" si="37">
        <n x="1" s="1"/>
        <n x="2" s="1"/>
        <n x="38" s="1"/>
        <n x="3"/>
        <n x="32"/>
        <n x="43"/>
        <n x="29"/>
      </t>
    </mdx>
    <mdx n="0" f="v">
      <t c="7" si="37">
        <n x="1" s="1"/>
        <n x="2" s="1"/>
        <n x="38" s="1"/>
        <n x="3"/>
        <n x="32"/>
        <n x="42"/>
        <n x="33"/>
      </t>
    </mdx>
    <mdx n="0" f="v">
      <t c="7" si="37">
        <n x="1" s="1"/>
        <n x="2" s="1"/>
        <n x="38" s="1"/>
        <n x="3"/>
        <n x="32"/>
        <n x="42"/>
        <n x="29"/>
      </t>
    </mdx>
    <mdx n="0" f="v">
      <t c="7" si="37">
        <n x="1" s="1"/>
        <n x="2" s="1"/>
        <n x="38" s="1"/>
        <n x="3"/>
        <n x="32"/>
        <n x="41"/>
        <n x="33"/>
      </t>
    </mdx>
    <mdx n="0" f="v">
      <t c="7" si="37">
        <n x="1" s="1"/>
        <n x="2" s="1"/>
        <n x="38" s="1"/>
        <n x="3"/>
        <n x="32"/>
        <n x="41"/>
        <n x="29"/>
      </t>
    </mdx>
    <mdx n="0" f="v">
      <t c="7" si="37">
        <n x="1" s="1"/>
        <n x="2" s="1"/>
        <n x="38" s="1"/>
        <n x="3"/>
        <n x="32"/>
        <n x="40"/>
        <n x="33"/>
      </t>
    </mdx>
    <mdx n="0" f="v">
      <t c="7" si="37">
        <n x="1" s="1"/>
        <n x="2" s="1"/>
        <n x="38" s="1"/>
        <n x="3"/>
        <n x="32"/>
        <n x="40"/>
        <n x="29"/>
      </t>
    </mdx>
    <mdx n="0" f="v">
      <t c="7" si="37">
        <n x="1" s="1"/>
        <n x="2" s="1"/>
        <n x="38" s="1"/>
        <n x="3"/>
        <n x="32"/>
        <n x="39"/>
        <n x="33"/>
      </t>
    </mdx>
    <mdx n="0" f="v">
      <t c="7" si="37">
        <n x="1" s="1"/>
        <n x="2" s="1"/>
        <n x="38" s="1"/>
        <n x="3"/>
        <n x="32"/>
        <n x="39"/>
        <n x="29"/>
      </t>
    </mdx>
    <mdx n="0" f="v">
      <t c="7" si="37">
        <n x="1" s="1"/>
        <n x="2" s="1"/>
        <n x="38" s="1"/>
        <n x="3"/>
        <n x="18"/>
        <n x="43"/>
        <n x="33"/>
      </t>
    </mdx>
    <mdx n="0" f="v">
      <t c="7" si="37">
        <n x="1" s="1"/>
        <n x="2" s="1"/>
        <n x="38" s="1"/>
        <n x="3"/>
        <n x="18"/>
        <n x="43"/>
        <n x="29"/>
      </t>
    </mdx>
    <mdx n="0" f="v">
      <t c="7" si="37">
        <n x="1" s="1"/>
        <n x="2" s="1"/>
        <n x="38" s="1"/>
        <n x="3"/>
        <n x="18"/>
        <n x="42"/>
        <n x="33"/>
      </t>
    </mdx>
    <mdx n="0" f="v">
      <t c="7" si="37">
        <n x="1" s="1"/>
        <n x="2" s="1"/>
        <n x="38" s="1"/>
        <n x="3"/>
        <n x="18"/>
        <n x="42"/>
        <n x="29"/>
      </t>
    </mdx>
    <mdx n="0" f="v">
      <t c="7" si="37">
        <n x="1" s="1"/>
        <n x="2" s="1"/>
        <n x="38" s="1"/>
        <n x="3"/>
        <n x="18"/>
        <n x="41"/>
        <n x="33"/>
      </t>
    </mdx>
    <mdx n="0" f="v">
      <t c="7" si="37">
        <n x="1" s="1"/>
        <n x="2" s="1"/>
        <n x="38" s="1"/>
        <n x="3"/>
        <n x="18"/>
        <n x="41"/>
        <n x="29"/>
      </t>
    </mdx>
    <mdx n="0" f="v">
      <t c="7" si="37">
        <n x="1" s="1"/>
        <n x="2" s="1"/>
        <n x="38" s="1"/>
        <n x="3"/>
        <n x="18"/>
        <n x="40"/>
        <n x="33"/>
      </t>
    </mdx>
    <mdx n="0" f="v">
      <t c="7" si="37">
        <n x="1" s="1"/>
        <n x="2" s="1"/>
        <n x="38" s="1"/>
        <n x="3"/>
        <n x="18"/>
        <n x="40"/>
        <n x="29"/>
      </t>
    </mdx>
    <mdx n="0" f="v">
      <t c="7" si="37">
        <n x="1" s="1"/>
        <n x="2" s="1"/>
        <n x="38" s="1"/>
        <n x="3"/>
        <n x="18"/>
        <n x="39"/>
        <n x="33"/>
      </t>
    </mdx>
    <mdx n="0" f="v">
      <t c="7" si="37">
        <n x="1" s="1"/>
        <n x="2" s="1"/>
        <n x="38" s="1"/>
        <n x="3"/>
        <n x="18"/>
        <n x="39"/>
        <n x="29"/>
      </t>
    </mdx>
    <mdx n="0" f="v">
      <t c="7" si="37">
        <n x="1" s="1"/>
        <n x="2" s="1"/>
        <n x="38" s="1"/>
        <n x="3"/>
        <n x="15"/>
        <n x="43"/>
        <n x="33"/>
      </t>
    </mdx>
    <mdx n="0" f="v">
      <t c="7" si="37">
        <n x="1" s="1"/>
        <n x="2" s="1"/>
        <n x="38" s="1"/>
        <n x="3"/>
        <n x="15"/>
        <n x="43"/>
        <n x="29"/>
      </t>
    </mdx>
    <mdx n="0" f="v">
      <t c="7" si="37">
        <n x="1" s="1"/>
        <n x="2" s="1"/>
        <n x="38" s="1"/>
        <n x="3"/>
        <n x="15"/>
        <n x="42"/>
        <n x="33"/>
      </t>
    </mdx>
    <mdx n="0" f="v">
      <t c="7" si="37">
        <n x="1" s="1"/>
        <n x="2" s="1"/>
        <n x="38" s="1"/>
        <n x="3"/>
        <n x="15"/>
        <n x="42"/>
        <n x="29"/>
      </t>
    </mdx>
    <mdx n="0" f="v">
      <t c="7" si="37">
        <n x="1" s="1"/>
        <n x="2" s="1"/>
        <n x="38" s="1"/>
        <n x="3"/>
        <n x="15"/>
        <n x="41"/>
        <n x="33"/>
      </t>
    </mdx>
    <mdx n="0" f="v">
      <t c="7" si="37">
        <n x="1" s="1"/>
        <n x="2" s="1"/>
        <n x="38" s="1"/>
        <n x="3"/>
        <n x="15"/>
        <n x="41"/>
        <n x="29"/>
      </t>
    </mdx>
    <mdx n="0" f="v">
      <t c="7" si="37">
        <n x="1" s="1"/>
        <n x="2" s="1"/>
        <n x="38" s="1"/>
        <n x="3"/>
        <n x="15"/>
        <n x="40"/>
        <n x="33"/>
      </t>
    </mdx>
    <mdx n="0" f="v">
      <t c="7" si="37">
        <n x="1" s="1"/>
        <n x="2" s="1"/>
        <n x="38" s="1"/>
        <n x="3"/>
        <n x="15"/>
        <n x="40"/>
        <n x="29"/>
      </t>
    </mdx>
    <mdx n="0" f="v">
      <t c="7" si="37">
        <n x="1" s="1"/>
        <n x="2" s="1"/>
        <n x="38" s="1"/>
        <n x="3"/>
        <n x="15"/>
        <n x="39"/>
        <n x="33"/>
      </t>
    </mdx>
    <mdx n="0" f="v">
      <t c="7" si="37">
        <n x="1" s="1"/>
        <n x="2" s="1"/>
        <n x="38" s="1"/>
        <n x="3"/>
        <n x="15"/>
        <n x="39"/>
        <n x="29"/>
      </t>
    </mdx>
    <mdx n="0" f="v">
      <t c="7" si="37">
        <n x="1" s="1"/>
        <n x="2" s="1"/>
        <n x="38" s="1"/>
        <n x="3"/>
        <n x="14"/>
        <n x="43"/>
        <n x="33"/>
      </t>
    </mdx>
    <mdx n="0" f="v">
      <t c="7" si="37">
        <n x="1" s="1"/>
        <n x="2" s="1"/>
        <n x="38" s="1"/>
        <n x="3"/>
        <n x="14"/>
        <n x="43"/>
        <n x="29"/>
      </t>
    </mdx>
    <mdx n="0" f="v">
      <t c="7" si="37">
        <n x="1" s="1"/>
        <n x="2" s="1"/>
        <n x="38" s="1"/>
        <n x="3"/>
        <n x="14"/>
        <n x="42"/>
        <n x="33"/>
      </t>
    </mdx>
    <mdx n="0" f="v">
      <t c="7" si="37">
        <n x="1" s="1"/>
        <n x="2" s="1"/>
        <n x="38" s="1"/>
        <n x="3"/>
        <n x="14"/>
        <n x="42"/>
        <n x="29"/>
      </t>
    </mdx>
    <mdx n="0" f="v">
      <t c="7" si="37">
        <n x="1" s="1"/>
        <n x="2" s="1"/>
        <n x="38" s="1"/>
        <n x="3"/>
        <n x="14"/>
        <n x="41"/>
        <n x="33"/>
      </t>
    </mdx>
    <mdx n="0" f="v">
      <t c="7" si="37">
        <n x="1" s="1"/>
        <n x="2" s="1"/>
        <n x="38" s="1"/>
        <n x="3"/>
        <n x="14"/>
        <n x="41"/>
        <n x="29"/>
      </t>
    </mdx>
    <mdx n="0" f="v">
      <t c="7" si="37">
        <n x="1" s="1"/>
        <n x="2" s="1"/>
        <n x="38" s="1"/>
        <n x="3"/>
        <n x="14"/>
        <n x="40"/>
        <n x="33"/>
      </t>
    </mdx>
    <mdx n="0" f="v">
      <t c="7" si="37">
        <n x="1" s="1"/>
        <n x="2" s="1"/>
        <n x="38" s="1"/>
        <n x="3"/>
        <n x="14"/>
        <n x="40"/>
        <n x="29"/>
      </t>
    </mdx>
    <mdx n="0" f="v">
      <t c="7" si="37">
        <n x="1" s="1"/>
        <n x="2" s="1"/>
        <n x="38" s="1"/>
        <n x="3"/>
        <n x="14"/>
        <n x="39"/>
        <n x="33"/>
      </t>
    </mdx>
    <mdx n="0" f="v">
      <t c="7" si="37">
        <n x="1" s="1"/>
        <n x="2" s="1"/>
        <n x="38" s="1"/>
        <n x="3"/>
        <n x="14"/>
        <n x="39"/>
        <n x="29"/>
      </t>
    </mdx>
    <mdx n="0" f="v">
      <t c="6" si="37">
        <n x="1" s="1"/>
        <n x="2" s="1"/>
        <n x="38" s="1"/>
        <n x="35"/>
        <n x="43"/>
        <n x="33"/>
      </t>
    </mdx>
    <mdx n="0" f="v">
      <t c="6" si="37">
        <n x="1" s="1"/>
        <n x="2" s="1"/>
        <n x="38" s="1"/>
        <n x="35"/>
        <n x="43"/>
        <n x="29"/>
      </t>
    </mdx>
    <mdx n="0" f="v">
      <t c="6" si="37">
        <n x="1" s="1"/>
        <n x="2" s="1"/>
        <n x="38" s="1"/>
        <n x="35"/>
        <n x="42"/>
        <n x="33"/>
      </t>
    </mdx>
    <mdx n="0" f="v">
      <t c="6" si="37">
        <n x="1" s="1"/>
        <n x="2" s="1"/>
        <n x="38" s="1"/>
        <n x="35"/>
        <n x="42"/>
        <n x="29"/>
      </t>
    </mdx>
    <mdx n="0" f="v">
      <t c="6" si="37">
        <n x="1" s="1"/>
        <n x="2" s="1"/>
        <n x="38" s="1"/>
        <n x="35"/>
        <n x="41"/>
        <n x="33"/>
      </t>
    </mdx>
    <mdx n="0" f="v">
      <t c="6" si="37">
        <n x="1" s="1"/>
        <n x="2" s="1"/>
        <n x="38" s="1"/>
        <n x="35"/>
        <n x="41"/>
        <n x="29"/>
      </t>
    </mdx>
    <mdx n="0" f="v">
      <t c="6" si="37">
        <n x="1" s="1"/>
        <n x="2" s="1"/>
        <n x="38" s="1"/>
        <n x="35"/>
        <n x="40"/>
        <n x="33"/>
      </t>
    </mdx>
    <mdx n="0" f="v">
      <t c="6" si="37">
        <n x="1" s="1"/>
        <n x="2" s="1"/>
        <n x="38" s="1"/>
        <n x="35"/>
        <n x="40"/>
        <n x="29"/>
      </t>
    </mdx>
    <mdx n="0" f="v">
      <t c="6" si="37">
        <n x="1" s="1"/>
        <n x="2" s="1"/>
        <n x="38" s="1"/>
        <n x="35"/>
        <n x="39"/>
        <n x="33"/>
      </t>
    </mdx>
    <mdx n="0" f="v">
      <t c="6" si="37">
        <n x="1" s="1"/>
        <n x="2" s="1"/>
        <n x="38" s="1"/>
        <n x="35"/>
        <n x="39"/>
        <n x="29"/>
      </t>
    </mdx>
    <mdx n="0" f="v">
      <t c="6" si="37">
        <n x="1" s="1"/>
        <n x="2" s="1"/>
        <n x="38" s="1"/>
        <n x="27"/>
        <n x="43"/>
        <n x="33"/>
      </t>
    </mdx>
    <mdx n="0" f="v">
      <t c="6" si="37">
        <n x="1" s="1"/>
        <n x="2" s="1"/>
        <n x="38" s="1"/>
        <n x="27"/>
        <n x="43"/>
        <n x="29"/>
      </t>
    </mdx>
    <mdx n="0" f="v">
      <t c="6" si="37">
        <n x="1" s="1"/>
        <n x="2" s="1"/>
        <n x="38" s="1"/>
        <n x="27"/>
        <n x="42"/>
        <n x="33"/>
      </t>
    </mdx>
    <mdx n="0" f="v">
      <t c="6" si="37">
        <n x="1" s="1"/>
        <n x="2" s="1"/>
        <n x="38" s="1"/>
        <n x="27"/>
        <n x="42"/>
        <n x="29"/>
      </t>
    </mdx>
    <mdx n="0" f="v">
      <t c="6" si="37">
        <n x="1" s="1"/>
        <n x="2" s="1"/>
        <n x="38" s="1"/>
        <n x="27"/>
        <n x="41"/>
        <n x="33"/>
      </t>
    </mdx>
    <mdx n="0" f="v">
      <t c="6" si="37">
        <n x="1" s="1"/>
        <n x="2" s="1"/>
        <n x="38" s="1"/>
        <n x="27"/>
        <n x="41"/>
        <n x="29"/>
      </t>
    </mdx>
    <mdx n="0" f="v">
      <t c="6" si="37">
        <n x="1" s="1"/>
        <n x="2" s="1"/>
        <n x="38" s="1"/>
        <n x="27"/>
        <n x="40"/>
        <n x="33"/>
      </t>
    </mdx>
    <mdx n="0" f="v">
      <t c="6" si="37">
        <n x="1" s="1"/>
        <n x="2" s="1"/>
        <n x="38" s="1"/>
        <n x="27"/>
        <n x="40"/>
        <n x="29"/>
      </t>
    </mdx>
    <mdx n="0" f="v">
      <t c="6" si="37">
        <n x="1" s="1"/>
        <n x="2" s="1"/>
        <n x="38" s="1"/>
        <n x="27"/>
        <n x="39"/>
        <n x="33"/>
      </t>
    </mdx>
    <mdx n="0" f="v">
      <t c="6" si="37">
        <n x="1" s="1"/>
        <n x="2" s="1"/>
        <n x="38" s="1"/>
        <n x="27"/>
        <n x="39"/>
        <n x="29"/>
      </t>
    </mdx>
    <mdx n="0" f="m">
      <t c="2">
        <n x="44"/>
        <n x="29"/>
      </t>
    </mdx>
    <mdx n="0" f="m">
      <t c="2">
        <n x="44"/>
        <n x="33"/>
      </t>
    </mdx>
    <mdx n="0" f="m">
      <t c="2">
        <n x="45"/>
        <n x="33"/>
      </t>
    </mdx>
    <mdx n="0" f="m">
      <t c="1">
        <n x="46"/>
      </t>
    </mdx>
    <mdx n="0" f="m">
      <t c="2">
        <n x="46"/>
        <n x="33"/>
      </t>
    </mdx>
    <mdx n="0" f="m">
      <t c="2">
        <n x="47"/>
        <n x="33"/>
      </t>
    </mdx>
    <mdx n="0" f="m">
      <t c="2">
        <n x="45"/>
        <n x="29"/>
      </t>
    </mdx>
    <mdx n="0" f="v">
      <t c="7" si="37">
        <n x="1" s="1"/>
        <n x="2" s="1"/>
        <n x="38" s="1"/>
        <n x="3"/>
        <n x="24"/>
        <n x="41"/>
        <n x="33"/>
      </t>
    </mdx>
    <mdx n="0" f="v">
      <t c="7" si="37">
        <n x="1" s="1"/>
        <n x="2" s="1"/>
        <n x="38" s="1"/>
        <n x="3"/>
        <n x="9"/>
        <n x="41"/>
        <n x="33"/>
      </t>
    </mdx>
    <mdx n="0" f="m">
      <t c="1">
        <n x="44"/>
      </t>
    </mdx>
    <mdx n="0" f="m">
      <t c="2">
        <n x="47"/>
        <n x="29"/>
      </t>
    </mdx>
    <mdx n="0" f="m">
      <t c="2">
        <n x="48"/>
        <n x="29"/>
      </t>
    </mdx>
    <mdx n="0" f="m">
      <t c="2">
        <n x="48"/>
        <n x="33"/>
      </t>
    </mdx>
    <mdx n="0" f="v">
      <t c="7" si="37">
        <n x="1" s="1"/>
        <n x="2" s="1"/>
        <n x="38" s="1"/>
        <n x="22"/>
        <n x="23"/>
        <n x="41"/>
        <n x="29"/>
      </t>
    </mdx>
    <mdx n="0" f="m">
      <t c="2">
        <n x="22"/>
        <n x="49"/>
      </t>
    </mdx>
    <mdx n="0" f="m">
      <t c="2">
        <n x="50"/>
        <n x="29"/>
      </t>
    </mdx>
    <mdx n="0" f="v">
      <t c="7" si="37">
        <n x="1" s="1"/>
        <n x="2" s="1"/>
        <n x="38" s="1"/>
        <n x="3"/>
        <n x="24"/>
        <n x="42"/>
        <n x="33"/>
      </t>
    </mdx>
    <mdx n="0" f="v">
      <t c="7" si="37">
        <n x="1" s="1"/>
        <n x="2" s="1"/>
        <n x="38" s="1"/>
        <n x="22"/>
        <n x="23"/>
        <n x="41"/>
        <n x="33"/>
      </t>
    </mdx>
    <mdx n="0" f="m">
      <t c="2">
        <n x="50"/>
        <n x="33"/>
      </t>
    </mdx>
    <mdx n="0" f="v">
      <t c="7" si="37">
        <n x="1" s="1"/>
        <n x="2" s="1"/>
        <n x="38" s="1"/>
        <n x="3"/>
        <n x="9"/>
        <n x="40"/>
        <n x="33"/>
      </t>
    </mdx>
    <mdx n="0" f="m">
      <t c="1">
        <n x="45"/>
      </t>
    </mdx>
    <mdx n="0" f="v">
      <t c="6" si="37">
        <n x="1" s="1"/>
        <n x="2" s="1"/>
        <n x="38" s="1"/>
        <n x="3"/>
        <n x="7"/>
        <n x="29"/>
      </t>
    </mdx>
    <mdx n="0" f="v">
      <t c="7" si="37">
        <n x="1" s="1"/>
        <n x="2" s="1"/>
        <n x="38" s="1"/>
        <n x="22"/>
        <n x="23"/>
        <n x="42"/>
        <n x="29"/>
      </t>
    </mdx>
    <mdx n="0" f="v">
      <t c="7" si="37">
        <n x="1" s="1"/>
        <n x="2" s="1"/>
        <n x="38" s="1"/>
        <n x="3"/>
        <n x="6"/>
        <n x="42"/>
        <n x="33"/>
      </t>
    </mdx>
    <mdx n="0" f="m">
      <t c="1">
        <n x="47"/>
      </t>
    </mdx>
    <mdx n="0" f="v">
      <t c="7" si="37">
        <n x="1" s="1"/>
        <n x="2" s="1"/>
        <n x="38" s="1"/>
        <n x="3"/>
        <n x="9"/>
        <n x="43"/>
        <n x="29"/>
      </t>
    </mdx>
    <mdx n="0" f="v">
      <t c="7" si="37">
        <n x="1" s="1"/>
        <n x="2" s="1"/>
        <n x="38" s="1"/>
        <n x="3"/>
        <n x="11"/>
        <n x="43"/>
        <n x="29"/>
      </t>
    </mdx>
    <mdx n="0" f="v">
      <t c="7" si="37">
        <n x="1" s="1"/>
        <n x="2" s="1"/>
        <n x="38" s="1"/>
        <n x="3"/>
        <n x="13"/>
        <n x="43"/>
        <n x="33"/>
      </t>
    </mdx>
    <mdx n="0" f="v">
      <t c="7" si="37">
        <n x="1" s="1"/>
        <n x="2" s="1"/>
        <n x="38" s="1"/>
        <n x="3"/>
        <n x="24"/>
        <n x="43"/>
        <n x="33"/>
      </t>
    </mdx>
    <mdx n="0" f="v">
      <t c="7" si="37">
        <n x="1" s="1"/>
        <n x="2" s="1"/>
        <n x="38" s="1"/>
        <n x="22"/>
        <n x="23"/>
        <n x="42"/>
        <n x="33"/>
      </t>
    </mdx>
    <mdx n="0" f="v">
      <t c="6" si="37">
        <n x="1" s="1"/>
        <n x="2" s="1"/>
        <n x="38" s="1"/>
        <n x="3"/>
        <n x="14"/>
        <n x="29"/>
      </t>
    </mdx>
    <mdx n="0" f="v">
      <t c="6" si="37">
        <n x="1" s="1"/>
        <n x="2" s="1"/>
        <n x="38" s="1"/>
        <n x="3"/>
        <n x="11"/>
        <n x="33"/>
      </t>
    </mdx>
    <mdx n="0" f="v">
      <t c="6" si="37">
        <n x="1" s="1"/>
        <n x="2" s="1"/>
        <n x="38" s="1"/>
        <n x="3"/>
        <n x="13"/>
        <n x="29"/>
      </t>
    </mdx>
    <mdx n="0" f="v">
      <t c="6" si="37">
        <n x="1" s="1"/>
        <n x="2" s="1"/>
        <n x="38" s="1"/>
        <n x="3"/>
        <n x="15"/>
        <n x="33"/>
      </t>
    </mdx>
    <mdx n="0" f="v">
      <t c="5" si="37">
        <n x="1" s="1"/>
        <n x="2" s="1"/>
        <n x="38" s="1"/>
        <n x="3"/>
        <n x="29"/>
      </t>
    </mdx>
    <mdx n="0" f="v">
      <t c="7" si="37">
        <n x="1" s="1"/>
        <n x="2" s="1"/>
        <n x="38" s="1"/>
        <n x="3"/>
        <n x="11"/>
        <n x="42"/>
        <n x="33"/>
      </t>
    </mdx>
    <mdx n="0" f="m">
      <t c="1">
        <n x="50"/>
      </t>
    </mdx>
    <mdx n="0" f="v">
      <t c="7" si="37">
        <n x="1" s="1"/>
        <n x="2" s="1"/>
        <n x="38" s="1"/>
        <n x="3"/>
        <n x="20"/>
        <n x="41"/>
        <n x="33"/>
      </t>
    </mdx>
    <mdx n="0" f="v">
      <t c="6" si="37">
        <n x="1" s="1"/>
        <n x="2" s="1"/>
        <n x="38" s="1"/>
        <n x="22"/>
        <n x="23"/>
        <n x="33"/>
      </t>
    </mdx>
    <mdx n="0" f="v">
      <t c="7" si="37">
        <n x="1" s="1"/>
        <n x="2" s="1"/>
        <n x="38" s="1"/>
        <n x="3"/>
        <n x="8"/>
        <n x="39"/>
        <n x="29"/>
      </t>
    </mdx>
    <mdx n="0" f="v">
      <t c="6" si="37">
        <n x="1" s="1"/>
        <n x="2" s="1"/>
        <n x="38" s="1"/>
        <n x="3"/>
        <n x="9"/>
        <n x="29"/>
      </t>
    </mdx>
    <mdx n="0" f="v">
      <t c="7" si="37">
        <n x="1" s="1"/>
        <n x="2" s="1"/>
        <n x="38" s="1"/>
        <n x="22"/>
        <n x="23"/>
        <n x="43"/>
        <n x="29"/>
      </t>
    </mdx>
    <mdx n="0" f="v">
      <t c="7" si="37">
        <n x="1" s="1"/>
        <n x="2" s="1"/>
        <n x="38" s="1"/>
        <n x="22"/>
        <n x="23"/>
        <n x="43"/>
        <n x="33"/>
      </t>
    </mdx>
    <mdx n="0" f="v">
      <t c="7" si="37">
        <n x="1" s="1"/>
        <n x="2" s="1"/>
        <n x="38" s="1"/>
        <n x="3"/>
        <n x="8"/>
        <n x="40"/>
        <n x="29"/>
      </t>
    </mdx>
    <mdx n="0" f="v">
      <t c="7" si="37">
        <n x="1" s="1"/>
        <n x="2" s="1"/>
        <n x="38" s="1"/>
        <n x="3"/>
        <n x="9"/>
        <n x="39"/>
        <n x="29"/>
      </t>
    </mdx>
    <mdx n="0" f="v">
      <t c="7" si="37">
        <n x="1" s="1"/>
        <n x="2" s="1"/>
        <n x="38" s="1"/>
        <n x="3"/>
        <n x="8"/>
        <n x="41"/>
        <n x="29"/>
      </t>
    </mdx>
    <mdx n="0" f="v">
      <t c="7" si="37">
        <n x="1" s="1"/>
        <n x="2" s="1"/>
        <n x="38" s="1"/>
        <n x="3"/>
        <n x="11"/>
        <n x="39"/>
        <n x="29"/>
      </t>
    </mdx>
    <mdx n="0" f="v">
      <t c="7" si="37">
        <n x="1" s="1"/>
        <n x="2" s="1"/>
        <n x="38" s="1"/>
        <n x="3"/>
        <n x="12"/>
        <n x="40"/>
        <n x="33"/>
      </t>
    </mdx>
    <mdx n="0" f="v">
      <t c="6" si="37">
        <n x="1" s="1"/>
        <n x="2" s="1"/>
        <n x="38" s="1"/>
        <n x="3"/>
        <n x="18"/>
        <n x="29"/>
      </t>
    </mdx>
    <mdx n="0" f="v">
      <t c="7" si="37">
        <n x="1" s="1"/>
        <n x="2" s="1"/>
        <n x="38" s="1"/>
        <n x="3"/>
        <n x="11"/>
        <n x="40"/>
        <n x="29"/>
      </t>
    </mdx>
    <mdx n="0" f="m">
      <t c="2">
        <n x="46"/>
        <n x="29"/>
      </t>
    </mdx>
    <mdx n="0" f="v">
      <t c="5" si="37">
        <n x="1" s="1"/>
        <n x="2" s="1"/>
        <n x="38" s="1"/>
        <n x="16"/>
        <n x="33"/>
      </t>
    </mdx>
    <mdx n="0" f="v">
      <t c="6" si="37">
        <n x="1" s="1"/>
        <n x="2" s="1"/>
        <n x="38" s="1"/>
        <n x="3"/>
        <n x="32"/>
        <n x="29"/>
      </t>
    </mdx>
    <mdx n="0" f="v">
      <t c="6" si="37">
        <n x="1" s="1"/>
        <n x="2" s="1"/>
        <n x="38" s="1"/>
        <n x="3"/>
        <n x="13"/>
        <n x="33"/>
      </t>
    </mdx>
    <mdx n="0" f="m">
      <t c="1">
        <n x="51"/>
      </t>
    </mdx>
    <mdx n="0" f="v">
      <t c="7" si="37">
        <n x="1" s="1"/>
        <n x="2" s="1"/>
        <n x="38" s="1"/>
        <n x="3"/>
        <n x="8"/>
        <n x="42"/>
        <n x="29"/>
      </t>
    </mdx>
    <mdx n="0" f="v">
      <t c="7" si="37">
        <n x="1" s="1"/>
        <n x="2" s="1"/>
        <n x="38" s="1"/>
        <n x="3"/>
        <n x="6"/>
        <n x="43"/>
        <n x="33"/>
      </t>
    </mdx>
    <mdx n="0" f="v">
      <t c="7" si="37">
        <n x="1" s="1"/>
        <n x="2" s="1"/>
        <n x="38" s="1"/>
        <n x="3"/>
        <n x="13"/>
        <n x="39"/>
        <n x="33"/>
      </t>
    </mdx>
    <mdx n="0" f="v">
      <t c="7" si="37">
        <n x="1" s="1"/>
        <n x="2" s="1"/>
        <n x="38" s="1"/>
        <n x="3"/>
        <n x="20"/>
        <n x="39"/>
        <n x="33"/>
      </t>
    </mdx>
    <mdx n="0" f="v">
      <t c="6" si="37">
        <n x="1" s="1"/>
        <n x="2" s="1"/>
        <n x="38" s="1"/>
        <n x="16"/>
        <n x="19"/>
        <n x="33"/>
      </t>
    </mdx>
    <mdx n="0" f="v">
      <t c="5" si="37">
        <n x="1" s="1"/>
        <n x="2" s="1"/>
        <n x="38" s="1"/>
        <n x="16"/>
        <n x="29"/>
      </t>
    </mdx>
    <mdx n="0" f="v">
      <t c="6" si="37">
        <n x="1" s="1"/>
        <n x="2" s="1"/>
        <n x="38" s="1"/>
        <n x="3"/>
        <n x="24"/>
        <n x="33"/>
      </t>
    </mdx>
    <mdx n="0" f="v">
      <t c="7" si="37">
        <n x="1" s="1"/>
        <n x="2" s="1"/>
        <n x="38" s="1"/>
        <n x="3"/>
        <n x="24"/>
        <n x="39"/>
        <n x="29"/>
      </t>
    </mdx>
    <mdx n="0" f="v">
      <t c="7" si="37">
        <n x="1" s="1"/>
        <n x="2" s="1"/>
        <n x="38" s="1"/>
        <n x="16"/>
        <n x="17"/>
        <n x="41"/>
        <n x="33"/>
      </t>
    </mdx>
    <mdx n="0" f="v">
      <t c="7" si="37">
        <n x="1" s="1"/>
        <n x="2" s="1"/>
        <n x="38" s="1"/>
        <n x="3"/>
        <n x="8"/>
        <n x="43"/>
        <n x="29"/>
      </t>
    </mdx>
    <mdx n="0" f="v">
      <t c="7" si="37">
        <n x="1" s="1"/>
        <n x="2" s="1"/>
        <n x="38" s="1"/>
        <n x="3"/>
        <n x="12"/>
        <n x="42"/>
        <n x="29"/>
      </t>
    </mdx>
    <mdx n="0" f="v">
      <t c="6" si="37">
        <n x="1" s="1"/>
        <n x="2" s="1"/>
        <n x="38" s="1"/>
        <n x="3"/>
        <n x="20"/>
        <n x="29"/>
      </t>
    </mdx>
    <mdx n="0" f="v">
      <t c="7" si="37">
        <n x="1" s="1"/>
        <n x="2" s="1"/>
        <n x="38" s="1"/>
        <n x="3"/>
        <n x="9"/>
        <n x="42"/>
        <n x="29"/>
      </t>
    </mdx>
    <mdx n="0" f="v">
      <t c="7" si="37">
        <n x="1" s="1"/>
        <n x="2" s="1"/>
        <n x="38" s="1"/>
        <n x="3"/>
        <n x="11"/>
        <n x="41"/>
        <n x="29"/>
      </t>
    </mdx>
    <mdx n="0" f="v">
      <t c="7" si="37">
        <n x="1" s="1"/>
        <n x="2" s="1"/>
        <n x="38" s="1"/>
        <n x="3"/>
        <n x="13"/>
        <n x="40"/>
        <n x="29"/>
      </t>
    </mdx>
    <mdx n="0" f="v">
      <t c="6" si="37">
        <n x="1" s="1"/>
        <n x="2" s="1"/>
        <n x="38" s="1"/>
        <n x="16"/>
        <n x="17"/>
        <n x="29"/>
      </t>
    </mdx>
    <mdx n="0" f="m">
      <t c="2">
        <n x="51"/>
        <n x="29"/>
      </t>
    </mdx>
    <mdx n="0" f="m">
      <t c="1">
        <n x="48"/>
      </t>
    </mdx>
    <mdx n="0" f="v">
      <t c="7" si="37">
        <n x="1" s="1"/>
        <n x="2" s="1"/>
        <n x="38" s="1"/>
        <n x="3"/>
        <n x="8"/>
        <n x="43"/>
        <n x="33"/>
      </t>
    </mdx>
    <mdx n="0" f="v">
      <t c="7" si="37">
        <n x="1" s="1"/>
        <n x="2" s="1"/>
        <n x="38" s="1"/>
        <n x="3"/>
        <n x="12"/>
        <n x="42"/>
        <n x="33"/>
      </t>
    </mdx>
    <mdx n="0" f="v">
      <t c="6" si="37">
        <n x="1" s="1"/>
        <n x="2" s="1"/>
        <n x="38" s="1"/>
        <n x="3"/>
        <n x="20"/>
        <n x="33"/>
      </t>
    </mdx>
    <mdx n="0" f="v">
      <t c="7" si="37">
        <n x="1" s="1"/>
        <n x="2" s="1"/>
        <n x="38" s="1"/>
        <n x="3"/>
        <n x="9"/>
        <n x="42"/>
        <n x="33"/>
      </t>
    </mdx>
    <mdx n="0" f="v">
      <t c="7" si="37">
        <n x="1" s="1"/>
        <n x="2" s="1"/>
        <n x="38" s="1"/>
        <n x="3"/>
        <n x="11"/>
        <n x="41"/>
        <n x="33"/>
      </t>
    </mdx>
    <mdx n="0" f="v">
      <t c="7" si="37">
        <n x="1" s="1"/>
        <n x="2" s="1"/>
        <n x="38" s="1"/>
        <n x="3"/>
        <n x="13"/>
        <n x="40"/>
        <n x="33"/>
      </t>
    </mdx>
    <mdx n="0" f="v">
      <t c="6" si="37">
        <n x="1" s="1"/>
        <n x="2" s="1"/>
        <n x="38" s="1"/>
        <n x="16"/>
        <n x="17"/>
        <n x="33"/>
      </t>
    </mdx>
    <mdx n="0" f="m">
      <t c="2">
        <n x="51"/>
        <n x="33"/>
      </t>
    </mdx>
    <mdx n="0" f="v">
      <t c="7" si="37">
        <n x="1" s="1"/>
        <n x="2" s="1"/>
        <n x="38" s="1"/>
        <n x="3"/>
        <n x="20"/>
        <n x="39"/>
        <n x="29"/>
      </t>
    </mdx>
    <mdx n="0" f="v">
      <t c="6" si="37">
        <n x="1" s="1"/>
        <n x="2" s="1"/>
        <n x="38" s="1"/>
        <n x="16"/>
        <n x="19"/>
        <n x="29"/>
      </t>
    </mdx>
    <mdx n="0" f="v">
      <t c="7" si="37">
        <n x="1" s="1"/>
        <n x="2" s="1"/>
        <n x="38" s="1"/>
        <n x="3"/>
        <n x="13"/>
        <n x="41"/>
        <n x="33"/>
      </t>
    </mdx>
    <mdx n="0" f="v">
      <t c="7" si="37">
        <n x="1" s="1"/>
        <n x="2" s="1"/>
        <n x="38" s="1"/>
        <n x="16"/>
        <n x="17"/>
        <n x="40"/>
        <n x="29"/>
      </t>
    </mdx>
    <mdx n="0" f="v">
      <t c="7" si="37">
        <n x="1" s="1"/>
        <n x="2" s="1"/>
        <n x="38" s="1"/>
        <n x="3"/>
        <n x="20"/>
        <n x="41"/>
        <n x="29"/>
      </t>
    </mdx>
    <mdx n="0" f="v">
      <t c="7" si="37">
        <n x="1" s="1"/>
        <n x="2" s="1"/>
        <n x="38" s="1"/>
        <n x="3"/>
        <n x="13"/>
        <n x="43"/>
        <n x="29"/>
      </t>
    </mdx>
    <mdx n="0" f="v">
      <t c="7" si="37">
        <n x="1" s="1"/>
        <n x="2" s="1"/>
        <n x="38" s="1"/>
        <n x="3"/>
        <n x="9"/>
        <n x="43"/>
        <n x="33"/>
      </t>
    </mdx>
    <mdx n="0" f="v">
      <t c="7" si="37">
        <n x="1" s="1"/>
        <n x="2" s="1"/>
        <n x="38" s="1"/>
        <n x="22"/>
        <n x="23"/>
        <n x="40"/>
        <n x="29"/>
      </t>
    </mdx>
    <mdx n="0" f="v">
      <t c="7" si="37">
        <n x="1" s="1"/>
        <n x="2" s="1"/>
        <n x="38" s="1"/>
        <n x="22"/>
        <n x="23"/>
        <n x="40"/>
        <n x="33"/>
      </t>
    </mdx>
    <mdx n="0" f="v">
      <t c="7" si="37">
        <n x="1" s="1"/>
        <n x="2" s="1"/>
        <n x="38" s="1"/>
        <n x="22"/>
        <n x="23"/>
        <n x="39"/>
        <n x="33"/>
      </t>
    </mdx>
    <mdx n="0" f="v">
      <t c="7" si="37">
        <n x="1" s="1"/>
        <n x="2" s="1"/>
        <n x="38" s="1"/>
        <n x="22"/>
        <n x="23"/>
        <n x="39"/>
        <n x="29"/>
      </t>
    </mdx>
    <mdx n="0" f="v">
      <t c="7" si="37">
        <n x="1" s="1"/>
        <n x="2" s="1"/>
        <n x="38" s="1"/>
        <n x="3"/>
        <n x="24"/>
        <n x="41"/>
        <n x="29"/>
      </t>
    </mdx>
    <mdx n="0" f="v">
      <t c="7" si="37">
        <n x="1" s="1"/>
        <n x="2" s="1"/>
        <n x="38" s="1"/>
        <n x="3"/>
        <n x="24"/>
        <n x="40"/>
        <n x="33"/>
      </t>
    </mdx>
    <mdx n="0" f="v">
      <t c="6" si="37">
        <n x="1" s="1"/>
        <n x="2" s="1"/>
        <n x="38" s="1"/>
        <n x="3"/>
        <n x="24"/>
        <n x="29"/>
      </t>
    </mdx>
    <mdx n="0" f="v">
      <t c="7" si="37">
        <n x="1" s="1"/>
        <n x="2" s="1"/>
        <n x="38" s="1"/>
        <n x="3"/>
        <n x="24"/>
        <n x="40"/>
        <n x="29"/>
      </t>
    </mdx>
    <mdx n="0" f="v">
      <t c="7" si="37">
        <n x="1" s="1"/>
        <n x="2" s="1"/>
        <n x="38" s="1"/>
        <n x="16"/>
        <n x="17"/>
        <n x="41"/>
        <n x="29"/>
      </t>
    </mdx>
    <mdx n="0" f="v">
      <t c="7" si="37">
        <n x="1" s="1"/>
        <n x="2" s="1"/>
        <n x="38" s="1"/>
        <n x="3"/>
        <n x="9"/>
        <n x="41"/>
        <n x="29"/>
      </t>
    </mdx>
    <mdx n="0" f="v">
      <t c="5" si="37">
        <n x="1" s="1"/>
        <n x="2" s="1"/>
        <n x="38" s="1"/>
        <n x="27"/>
        <n x="33"/>
      </t>
    </mdx>
    <mdx n="0" f="v">
      <t c="5" si="37">
        <n x="1" s="1"/>
        <n x="2" s="1"/>
        <n x="38" s="1"/>
        <n x="27"/>
        <n x="29"/>
      </t>
    </mdx>
    <mdx n="0" f="v">
      <t c="6" si="37">
        <n x="1" s="1"/>
        <n x="2" s="1"/>
        <n x="38" s="1"/>
        <n x="22"/>
        <n x="23"/>
        <n x="29"/>
      </t>
    </mdx>
    <mdx n="0" f="v">
      <t c="6" si="37">
        <n x="1" s="1"/>
        <n x="2" s="1"/>
        <n x="38" s="1"/>
        <n x="3"/>
        <n x="15"/>
        <n x="29"/>
      </t>
    </mdx>
    <mdx n="0" f="v">
      <t c="7" si="37">
        <n x="1" s="1"/>
        <n x="2" s="1"/>
        <n x="38" s="1"/>
        <n x="16"/>
        <n x="17"/>
        <n x="40"/>
        <n x="33"/>
      </t>
    </mdx>
    <mdx n="0" f="v">
      <t c="7" si="37">
        <n x="1" s="1"/>
        <n x="2" s="1"/>
        <n x="38" s="1"/>
        <n x="3"/>
        <n x="24"/>
        <n x="42"/>
        <n x="29"/>
      </t>
    </mdx>
    <mdx n="0" f="v">
      <t c="7" si="37">
        <n x="1" s="1"/>
        <n x="2" s="1"/>
        <n x="38" s="1"/>
        <n x="16"/>
        <n x="17"/>
        <n x="42"/>
        <n x="29"/>
      </t>
    </mdx>
    <mdx n="0" f="v">
      <t c="7" si="37">
        <n x="1" s="1"/>
        <n x="2" s="1"/>
        <n x="38" s="1"/>
        <n x="16"/>
        <n x="17"/>
        <n x="42"/>
        <n x="33"/>
      </t>
    </mdx>
    <mdx n="0" f="v">
      <t c="5" si="37">
        <n x="1" s="1"/>
        <n x="2" s="1"/>
        <n x="38" s="1"/>
        <n x="35"/>
        <n x="33"/>
      </t>
    </mdx>
    <mdx n="0" f="v">
      <t c="5" si="37">
        <n x="1" s="1"/>
        <n x="2" s="1"/>
        <n x="38" s="1"/>
        <n x="35"/>
        <n x="29"/>
      </t>
    </mdx>
    <mdx n="0" f="v">
      <t c="5" si="37">
        <n x="1" s="1"/>
        <n x="2" s="1"/>
        <n x="38" s="1"/>
        <n x="22"/>
        <n x="33"/>
      </t>
    </mdx>
    <mdx n="0" f="v">
      <t c="5" si="37">
        <n x="1" s="1"/>
        <n x="2" s="1"/>
        <n x="38" s="1"/>
        <n x="22"/>
        <n x="29"/>
      </t>
    </mdx>
    <mdx n="0" f="v">
      <t c="7" si="37">
        <n x="1" s="1"/>
        <n x="2" s="1"/>
        <n x="38" s="1"/>
        <n x="16"/>
        <n x="17"/>
        <n x="39"/>
        <n x="29"/>
      </t>
    </mdx>
    <mdx n="0" f="v">
      <t c="7" si="37">
        <n x="1" s="1"/>
        <n x="2" s="1"/>
        <n x="38" s="1"/>
        <n x="16"/>
        <n x="17"/>
        <n x="43"/>
        <n x="33"/>
      </t>
    </mdx>
    <mdx n="0" f="v">
      <t c="7" si="37">
        <n x="1" s="1"/>
        <n x="2" s="1"/>
        <n x="38" s="1"/>
        <n x="3"/>
        <n x="11"/>
        <n x="43"/>
        <n x="33"/>
      </t>
    </mdx>
    <mdx n="0" f="v">
      <t c="7" si="37">
        <n x="1" s="1"/>
        <n x="2" s="1"/>
        <n x="38" s="1"/>
        <n x="3"/>
        <n x="11"/>
        <n x="40"/>
        <n x="33"/>
      </t>
    </mdx>
    <mdx n="0" f="v">
      <t c="7" si="37">
        <n x="1" s="1"/>
        <n x="2" s="1"/>
        <n x="38" s="1"/>
        <n x="3"/>
        <n x="11"/>
        <n x="42"/>
        <n x="29"/>
      </t>
    </mdx>
    <mdx n="0" f="v">
      <t c="7" si="37">
        <n x="1" s="1"/>
        <n x="2" s="1"/>
        <n x="38" s="1"/>
        <n x="3"/>
        <n x="11"/>
        <n x="39"/>
        <n x="33"/>
      </t>
    </mdx>
    <mdx n="0" f="v">
      <t c="6" si="37">
        <n x="1" s="1"/>
        <n x="2" s="1"/>
        <n x="38" s="1"/>
        <n x="3"/>
        <n x="11"/>
        <n x="29"/>
      </t>
    </mdx>
    <mdx n="0" f="v">
      <t c="7" si="37">
        <n x="1" s="1"/>
        <n x="2" s="1"/>
        <n x="38" s="1"/>
        <n x="3"/>
        <n x="13"/>
        <n x="42"/>
        <n x="29"/>
      </t>
    </mdx>
    <mdx n="0" f="v">
      <t c="7" si="37">
        <n x="1" s="1"/>
        <n x="2" s="1"/>
        <n x="38" s="1"/>
        <n x="3"/>
        <n x="13"/>
        <n x="41"/>
        <n x="29"/>
      </t>
    </mdx>
    <mdx n="0" f="v">
      <t c="7" si="37">
        <n x="1" s="1"/>
        <n x="2" s="1"/>
        <n x="38" s="1"/>
        <n x="3"/>
        <n x="13"/>
        <n x="42"/>
        <n x="33"/>
      </t>
    </mdx>
    <mdx n="0" f="v">
      <t c="7" si="37">
        <n x="1" s="1"/>
        <n x="2" s="1"/>
        <n x="38" s="1"/>
        <n x="3"/>
        <n x="13"/>
        <n x="39"/>
        <n x="29"/>
      </t>
    </mdx>
    <mdx n="0" f="v">
      <t c="5" si="37">
        <n x="1" s="1"/>
        <n x="2" s="1"/>
        <n x="38" s="1"/>
        <n x="3"/>
        <n x="33"/>
      </t>
    </mdx>
    <mdx n="0" f="v">
      <t c="7" si="37">
        <n x="1" s="1"/>
        <n x="2" s="1"/>
        <n x="38" s="1"/>
        <n x="3"/>
        <n x="6"/>
        <n x="39"/>
        <n x="29"/>
      </t>
    </mdx>
    <mdx n="0" f="v">
      <t c="7" si="37">
        <n x="1" s="1"/>
        <n x="2" s="1"/>
        <n x="38" s="1"/>
        <n x="3"/>
        <n x="6"/>
        <n x="42"/>
        <n x="29"/>
      </t>
    </mdx>
    <mdx n="0" f="v">
      <t c="7" si="37">
        <n x="1" s="1"/>
        <n x="2" s="1"/>
        <n x="38" s="1"/>
        <n x="3"/>
        <n x="6"/>
        <n x="41"/>
        <n x="29"/>
      </t>
    </mdx>
    <mdx n="0" f="v">
      <t c="7" si="37">
        <n x="1" s="1"/>
        <n x="2" s="1"/>
        <n x="38" s="1"/>
        <n x="3"/>
        <n x="6"/>
        <n x="40"/>
        <n x="33"/>
      </t>
    </mdx>
    <mdx n="0" f="v">
      <t c="6" si="37">
        <n x="1" s="1"/>
        <n x="2" s="1"/>
        <n x="38" s="1"/>
        <n x="3"/>
        <n x="6"/>
        <n x="33"/>
      </t>
    </mdx>
    <mdx n="0" f="v">
      <t c="6" si="37">
        <n x="1" s="1"/>
        <n x="2" s="1"/>
        <n x="38" s="1"/>
        <n x="3"/>
        <n x="6"/>
        <n x="29"/>
      </t>
    </mdx>
    <mdx n="0" f="v">
      <t c="7" si="37">
        <n x="1" s="1"/>
        <n x="2" s="1"/>
        <n x="38" s="1"/>
        <n x="3"/>
        <n x="6"/>
        <n x="43"/>
        <n x="29"/>
      </t>
    </mdx>
    <mdx n="0" f="v">
      <t c="7" si="37">
        <n x="1" s="1"/>
        <n x="2" s="1"/>
        <n x="38" s="1"/>
        <n x="3"/>
        <n x="6"/>
        <n x="41"/>
        <n x="33"/>
      </t>
    </mdx>
    <mdx n="0" f="v">
      <t c="7" si="37">
        <n x="1" s="1"/>
        <n x="2" s="1"/>
        <n x="38" s="1"/>
        <n x="3"/>
        <n x="24"/>
        <n x="43"/>
        <n x="29"/>
      </t>
    </mdx>
    <mdx n="0" f="v">
      <t c="7" si="37">
        <n x="1" s="1"/>
        <n x="2" s="1"/>
        <n x="38" s="1"/>
        <n x="16"/>
        <n x="17"/>
        <n x="43"/>
        <n x="29"/>
      </t>
    </mdx>
    <mdx n="0" f="v">
      <t c="6" si="37">
        <n x="1" s="1"/>
        <n x="2" s="1"/>
        <n x="38" s="1"/>
        <n x="3"/>
        <n x="36"/>
        <n x="33"/>
      </t>
    </mdx>
    <mdx n="0" f="v">
      <t c="6" si="37">
        <n x="1" s="1"/>
        <n x="2" s="1"/>
        <n x="38" s="1"/>
        <n x="3"/>
        <n x="36"/>
        <n x="29"/>
      </t>
    </mdx>
    <mdx n="0" f="v">
      <t c="6" si="37">
        <n x="1" s="1"/>
        <n x="2" s="1"/>
        <n x="38" s="1"/>
        <n x="3"/>
        <n x="8"/>
        <n x="33"/>
      </t>
    </mdx>
    <mdx n="0" f="v">
      <t c="6" si="37">
        <n x="1" s="1"/>
        <n x="2" s="1"/>
        <n x="38" s="1"/>
        <n x="3"/>
        <n x="8"/>
        <n x="29"/>
      </t>
    </mdx>
    <mdx n="0" f="v">
      <t c="7" si="37">
        <n x="1" s="1"/>
        <n x="2" s="1"/>
        <n x="38" s="1"/>
        <n x="3"/>
        <n x="8"/>
        <n x="40"/>
        <n x="33"/>
      </t>
    </mdx>
    <mdx n="0" f="v">
      <t c="7" si="37">
        <n x="1" s="1"/>
        <n x="2" s="1"/>
        <n x="38" s="1"/>
        <n x="3"/>
        <n x="8"/>
        <n x="39"/>
        <n x="33"/>
      </t>
    </mdx>
    <mdx n="0" f="v">
      <t c="7" si="37">
        <n x="1" s="1"/>
        <n x="2" s="1"/>
        <n x="38" s="1"/>
        <n x="3"/>
        <n x="8"/>
        <n x="42"/>
        <n x="33"/>
      </t>
    </mdx>
    <mdx n="0" f="v">
      <t c="7" si="37">
        <n x="1" s="1"/>
        <n x="2" s="1"/>
        <n x="38" s="1"/>
        <n x="3"/>
        <n x="8"/>
        <n x="41"/>
        <n x="33"/>
      </t>
    </mdx>
    <mdx n="0" f="v">
      <t c="7" si="37">
        <n x="1" s="1"/>
        <n x="2" s="1"/>
        <n x="38" s="1"/>
        <n x="3"/>
        <n x="6"/>
        <n x="39"/>
        <n x="33"/>
      </t>
    </mdx>
    <mdx n="0" f="v">
      <t c="7" si="37">
        <n x="1" s="1"/>
        <n x="2" s="1"/>
        <n x="38" s="1"/>
        <n x="3"/>
        <n x="24"/>
        <n x="39"/>
        <n x="33"/>
      </t>
    </mdx>
    <mdx n="0" f="v">
      <t c="7" si="37">
        <n x="1" s="1"/>
        <n x="2" s="1"/>
        <n x="38" s="1"/>
        <n x="16"/>
        <n x="17"/>
        <n x="39"/>
        <n x="33"/>
      </t>
    </mdx>
    <mdx n="0" f="v">
      <t c="7" si="37">
        <n x="1" s="1"/>
        <n x="2" s="1"/>
        <n x="38" s="1"/>
        <n x="3"/>
        <n x="9"/>
        <n x="39"/>
        <n x="33"/>
      </t>
    </mdx>
    <mdx n="0" f="v">
      <t c="6" si="37">
        <n x="1" s="1"/>
        <n x="2" s="1"/>
        <n x="38" s="1"/>
        <n x="3"/>
        <n x="7"/>
        <n x="33"/>
      </t>
    </mdx>
    <mdx n="0" f="v">
      <t c="6" si="37">
        <n x="1" s="1"/>
        <n x="2" s="1"/>
        <n x="38" s="1"/>
        <n x="3"/>
        <n x="9"/>
        <n x="33"/>
      </t>
    </mdx>
    <mdx n="0" f="v">
      <t c="6" si="37">
        <n x="1" s="1"/>
        <n x="2" s="1"/>
        <n x="38" s="1"/>
        <n x="3"/>
        <n x="18"/>
        <n x="33"/>
      </t>
    </mdx>
    <mdx n="0" f="v">
      <t c="6" si="37">
        <n x="1" s="1"/>
        <n x="2" s="1"/>
        <n x="38" s="1"/>
        <n x="3"/>
        <n x="14"/>
        <n x="33"/>
      </t>
    </mdx>
    <mdx n="0" f="v">
      <t c="7" si="37">
        <n x="1" s="1"/>
        <n x="2" s="1"/>
        <n x="38" s="1"/>
        <n x="3"/>
        <n x="20"/>
        <n x="40"/>
        <n x="33"/>
      </t>
    </mdx>
    <mdx n="0" f="v">
      <t c="7" si="37">
        <n x="1" s="1"/>
        <n x="2" s="1"/>
        <n x="38" s="1"/>
        <n x="3"/>
        <n x="20"/>
        <n x="40"/>
        <n x="29"/>
      </t>
    </mdx>
    <mdx n="0" f="v">
      <t c="7" si="37">
        <n x="1" s="1"/>
        <n x="2" s="1"/>
        <n x="38" s="1"/>
        <n x="3"/>
        <n x="20"/>
        <n x="43"/>
        <n x="29"/>
      </t>
    </mdx>
    <mdx n="0" f="v">
      <t c="7" si="37">
        <n x="1" s="1"/>
        <n x="2" s="1"/>
        <n x="38" s="1"/>
        <n x="3"/>
        <n x="20"/>
        <n x="43"/>
        <n x="33"/>
      </t>
    </mdx>
    <mdx n="0" f="v">
      <t c="7" si="37">
        <n x="1" s="1"/>
        <n x="2" s="1"/>
        <n x="38" s="1"/>
        <n x="3"/>
        <n x="20"/>
        <n x="42"/>
        <n x="33"/>
      </t>
    </mdx>
    <mdx n="0" f="v">
      <t c="7" si="37">
        <n x="1" s="1"/>
        <n x="2" s="1"/>
        <n x="38" s="1"/>
        <n x="3"/>
        <n x="20"/>
        <n x="42"/>
        <n x="29"/>
      </t>
    </mdx>
    <mdx n="0" f="v">
      <t c="6" si="37">
        <n x="1" s="1"/>
        <n x="2" s="1"/>
        <n x="38" s="1"/>
        <n x="3"/>
        <n x="5"/>
        <n x="33"/>
      </t>
    </mdx>
    <mdx n="0" f="v">
      <t c="6" si="37">
        <n x="1" s="1"/>
        <n x="2" s="1"/>
        <n x="38" s="1"/>
        <n x="3"/>
        <n x="5"/>
        <n x="29"/>
      </t>
    </mdx>
    <mdx n="0" f="v">
      <t c="6" si="37">
        <n x="1" s="1"/>
        <n x="2" s="1"/>
        <n x="38" s="1"/>
        <n x="3"/>
        <n x="12"/>
        <n x="29"/>
      </t>
    </mdx>
    <mdx n="0" f="v">
      <t c="7" si="37">
        <n x="1" s="1"/>
        <n x="2" s="1"/>
        <n x="38" s="1"/>
        <n x="3"/>
        <n x="12"/>
        <n x="43"/>
        <n x="33"/>
      </t>
    </mdx>
    <mdx n="0" f="v">
      <t c="7" si="37">
        <n x="1" s="1"/>
        <n x="2" s="1"/>
        <n x="38" s="1"/>
        <n x="3"/>
        <n x="12"/>
        <n x="41"/>
        <n x="33"/>
      </t>
    </mdx>
    <mdx n="0" f="v">
      <t c="7" si="37">
        <n x="1" s="1"/>
        <n x="2" s="1"/>
        <n x="38" s="1"/>
        <n x="3"/>
        <n x="12"/>
        <n x="40"/>
        <n x="29"/>
      </t>
    </mdx>
    <mdx n="0" f="v">
      <t c="7" si="37">
        <n x="1" s="1"/>
        <n x="2" s="1"/>
        <n x="38" s="1"/>
        <n x="3"/>
        <n x="12"/>
        <n x="41"/>
        <n x="29"/>
      </t>
    </mdx>
    <mdx n="0" f="v">
      <t c="7" si="37">
        <n x="1" s="1"/>
        <n x="2" s="1"/>
        <n x="38" s="1"/>
        <n x="3"/>
        <n x="12"/>
        <n x="39"/>
        <n x="33"/>
      </t>
    </mdx>
    <mdx n="0" f="v">
      <t c="6" si="37">
        <n x="1" s="1"/>
        <n x="2" s="1"/>
        <n x="38" s="1"/>
        <n x="3"/>
        <n x="12"/>
        <n x="33"/>
      </t>
    </mdx>
    <mdx n="0" f="v">
      <t c="7" si="37">
        <n x="1" s="1"/>
        <n x="2" s="1"/>
        <n x="38" s="1"/>
        <n x="3"/>
        <n x="12"/>
        <n x="43"/>
        <n x="29"/>
      </t>
    </mdx>
    <mdx n="0" f="v">
      <t c="7" si="37">
        <n x="1" s="1"/>
        <n x="2" s="1"/>
        <n x="38" s="1"/>
        <n x="3"/>
        <n x="12"/>
        <n x="39"/>
        <n x="29"/>
      </t>
    </mdx>
    <mdx n="0" f="v">
      <t c="7" si="37">
        <n x="1" s="1"/>
        <n x="2" s="1"/>
        <n x="38" s="1"/>
        <n x="3"/>
        <n x="6"/>
        <n x="40"/>
        <n x="29"/>
      </t>
    </mdx>
    <mdx n="0" f="v">
      <t c="7" si="37">
        <n x="1" s="1"/>
        <n x="2" s="1"/>
        <n x="38" s="1"/>
        <n x="3"/>
        <n x="9"/>
        <n x="40"/>
        <n x="29"/>
      </t>
    </mdx>
    <mdx n="0" f="v">
      <t c="7" si="37">
        <n x="1" s="1"/>
        <n x="2" s="1"/>
        <n x="38" s="1"/>
        <n x="3"/>
        <n x="21"/>
        <n x="39"/>
        <n x="29"/>
      </t>
    </mdx>
    <mdx n="0" f="v">
      <t c="7" si="37">
        <n x="1" s="1"/>
        <n x="2" s="1"/>
        <n x="38" s="1"/>
        <n x="3"/>
        <n x="21"/>
        <n x="43"/>
        <n x="33"/>
      </t>
    </mdx>
    <mdx n="0" f="v">
      <t c="6" si="37">
        <n x="1" s="1"/>
        <n x="2" s="1"/>
        <n x="38" s="1"/>
        <n x="3"/>
        <n x="21"/>
        <n x="33"/>
      </t>
    </mdx>
    <mdx n="0" f="v">
      <t c="7" si="37">
        <n x="1" s="1"/>
        <n x="2" s="1"/>
        <n x="38" s="1"/>
        <n x="3"/>
        <n x="21"/>
        <n x="43"/>
        <n x="29"/>
      </t>
    </mdx>
    <mdx n="0" f="v">
      <t c="7" si="37">
        <n x="1" s="1"/>
        <n x="2" s="1"/>
        <n x="38" s="1"/>
        <n x="3"/>
        <n x="21"/>
        <n x="40"/>
        <n x="33"/>
      </t>
    </mdx>
    <mdx n="0" f="v">
      <t c="7" si="37">
        <n x="1" s="1"/>
        <n x="2" s="1"/>
        <n x="38" s="1"/>
        <n x="3"/>
        <n x="21"/>
        <n x="39"/>
        <n x="33"/>
      </t>
    </mdx>
    <mdx n="0" f="v">
      <t c="6" si="37">
        <n x="1" s="1"/>
        <n x="2" s="1"/>
        <n x="38" s="1"/>
        <n x="3"/>
        <n x="21"/>
        <n x="29"/>
      </t>
    </mdx>
    <mdx n="0" f="v">
      <t c="7" si="37">
        <n x="1" s="1"/>
        <n x="2" s="1"/>
        <n x="38" s="1"/>
        <n x="3"/>
        <n x="21"/>
        <n x="42"/>
        <n x="33"/>
      </t>
    </mdx>
    <mdx n="0" f="v">
      <t c="7" si="37">
        <n x="1" s="1"/>
        <n x="2" s="1"/>
        <n x="38" s="1"/>
        <n x="3"/>
        <n x="21"/>
        <n x="42"/>
        <n x="29"/>
      </t>
    </mdx>
    <mdx n="0" f="v">
      <t c="7" si="37">
        <n x="1" s="1"/>
        <n x="2" s="1"/>
        <n x="38" s="1"/>
        <n x="3"/>
        <n x="21"/>
        <n x="40"/>
        <n x="29"/>
      </t>
    </mdx>
    <mdx n="0" f="v">
      <t c="7" si="37">
        <n x="1" s="1"/>
        <n x="2" s="1"/>
        <n x="38" s="1"/>
        <n x="3"/>
        <n x="21"/>
        <n x="41"/>
        <n x="33"/>
      </t>
    </mdx>
    <mdx n="0" f="v">
      <t c="7" si="37">
        <n x="1" s="1"/>
        <n x="2" s="1"/>
        <n x="38" s="1"/>
        <n x="3"/>
        <n x="21"/>
        <n x="41"/>
        <n x="29"/>
      </t>
    </mdx>
    <mdx n="0" f="v">
      <t c="6" si="37">
        <n x="1" s="1"/>
        <n x="2" s="1"/>
        <n x="38" s="1"/>
        <n x="3"/>
        <n x="32"/>
        <n x="33"/>
      </t>
    </mdx>
    <mdx n="0" f="v">
      <t c="7" si="37">
        <n x="1" s="1"/>
        <n x="2" s="1"/>
        <n x="38" s="1"/>
        <n x="3"/>
        <n x="34"/>
        <n x="43"/>
        <n x="33"/>
      </t>
    </mdx>
    <mdx n="0" f="v">
      <t c="7" si="37">
        <n x="1" s="1"/>
        <n x="2" s="1"/>
        <n x="38" s="1"/>
        <n x="3"/>
        <n x="34"/>
        <n x="43"/>
        <n x="29"/>
      </t>
    </mdx>
    <mdx n="0" f="v">
      <t c="7" si="37">
        <n x="1" s="1"/>
        <n x="2" s="1"/>
        <n x="38" s="1"/>
        <n x="3"/>
        <n x="34"/>
        <n x="42"/>
        <n x="29"/>
      </t>
    </mdx>
    <mdx n="0" f="v">
      <t c="7" si="37">
        <n x="1" s="1"/>
        <n x="2" s="1"/>
        <n x="38" s="1"/>
        <n x="3"/>
        <n x="34"/>
        <n x="42"/>
        <n x="33"/>
      </t>
    </mdx>
    <mdx n="0" f="v">
      <t c="7" si="37">
        <n x="1" s="1"/>
        <n x="2" s="1"/>
        <n x="38" s="1"/>
        <n x="3"/>
        <n x="34"/>
        <n x="41"/>
        <n x="33"/>
      </t>
    </mdx>
    <mdx n="0" f="v">
      <t c="7" si="37">
        <n x="1" s="1"/>
        <n x="2" s="1"/>
        <n x="38" s="1"/>
        <n x="3"/>
        <n x="34"/>
        <n x="41"/>
        <n x="29"/>
      </t>
    </mdx>
    <mdx n="0" f="v">
      <t c="7" si="37">
        <n x="1" s="1"/>
        <n x="2" s="1"/>
        <n x="38" s="1"/>
        <n x="3"/>
        <n x="34"/>
        <n x="40"/>
        <n x="33"/>
      </t>
    </mdx>
    <mdx n="0" f="v">
      <t c="7" si="37">
        <n x="1" s="1"/>
        <n x="2" s="1"/>
        <n x="38" s="1"/>
        <n x="3"/>
        <n x="34"/>
        <n x="40"/>
        <n x="29"/>
      </t>
    </mdx>
    <mdx n="0" f="v">
      <t c="7" si="37">
        <n x="1" s="1"/>
        <n x="2" s="1"/>
        <n x="38" s="1"/>
        <n x="3"/>
        <n x="34"/>
        <n x="39"/>
        <n x="29"/>
      </t>
    </mdx>
    <mdx n="0" f="v">
      <t c="7" si="37">
        <n x="1" s="1"/>
        <n x="2" s="1"/>
        <n x="38" s="1"/>
        <n x="3"/>
        <n x="34"/>
        <n x="39"/>
        <n x="33"/>
      </t>
    </mdx>
    <mdx n="0" f="v">
      <t c="6" si="37">
        <n x="1" s="1"/>
        <n x="2" s="1"/>
        <n x="38" s="1"/>
        <n x="3"/>
        <n x="34"/>
        <n x="33"/>
      </t>
    </mdx>
    <mdx n="0" f="v">
      <t c="6" si="37">
        <n x="1" s="1"/>
        <n x="2" s="1"/>
        <n x="38" s="1"/>
        <n x="3"/>
        <n x="34"/>
        <n x="29"/>
      </t>
    </mdx>
    <mdx n="0" f="v">
      <t c="7" si="37">
        <n x="1" s="1"/>
        <n x="2" s="1"/>
        <n x="38" s="1"/>
        <n x="3"/>
        <n x="9"/>
        <n x="47"/>
        <n x="33"/>
      </t>
    </mdx>
    <mdx n="0" f="v">
      <t c="7" si="37">
        <n x="1" s="1"/>
        <n x="2" s="1"/>
        <n x="38" s="1"/>
        <n x="3"/>
        <n x="18"/>
        <n x="45"/>
        <n x="29"/>
      </t>
    </mdx>
    <mdx n="0" f="v">
      <t c="7" si="37">
        <n x="1" s="1"/>
        <n x="2" s="1"/>
        <n x="38" s="1"/>
        <n x="16"/>
        <n x="19"/>
        <n x="44"/>
        <n x="29"/>
      </t>
    </mdx>
    <mdx n="0" f="v">
      <t c="7" si="37">
        <n x="1" s="1"/>
        <n x="2" s="1"/>
        <n x="38" s="1"/>
        <n x="3"/>
        <n x="14"/>
        <n x="47"/>
        <n x="33"/>
      </t>
    </mdx>
    <mdx n="0" f="v">
      <t c="7" si="37">
        <n x="1" s="1"/>
        <n x="2" s="1"/>
        <n x="38" s="1"/>
        <n x="3"/>
        <n x="15"/>
        <n x="46"/>
        <n x="33"/>
      </t>
    </mdx>
    <mdx n="0" f="v">
      <t c="7" si="37">
        <n x="1" s="1"/>
        <n x="2" s="1"/>
        <n x="38" s="1"/>
        <n x="22"/>
        <n x="23"/>
        <n x="47"/>
        <n x="33"/>
      </t>
    </mdx>
    <mdx n="0" f="v">
      <t c="7" si="37">
        <n x="1" s="1"/>
        <n x="2" s="1"/>
        <n x="38" s="1"/>
        <n x="22"/>
        <n x="23"/>
        <n x="44"/>
        <n x="29"/>
      </t>
    </mdx>
    <mdx n="0" f="v">
      <t c="7" si="37">
        <n x="1" s="1"/>
        <n x="2" s="1"/>
        <n x="38" s="1"/>
        <n x="3"/>
        <n x="24"/>
        <n x="45"/>
        <n x="33"/>
      </t>
    </mdx>
    <mdx n="0" f="v">
      <t c="7" si="37">
        <n x="1" s="1"/>
        <n x="2" s="1"/>
        <n x="38" s="1"/>
        <n x="3"/>
        <n x="9"/>
        <n x="48"/>
        <n x="29"/>
      </t>
    </mdx>
    <mdx n="0" f="v">
      <t c="7" si="37">
        <n x="1" s="1"/>
        <n x="2" s="1"/>
        <n x="38" s="1"/>
        <n x="3"/>
        <n x="14"/>
        <n x="48"/>
        <n x="29"/>
      </t>
    </mdx>
    <mdx n="0" f="v">
      <t c="7" si="37">
        <n x="1" s="1"/>
        <n x="2" s="1"/>
        <n x="38" s="1"/>
        <n x="3"/>
        <n x="15"/>
        <n x="47"/>
        <n x="29"/>
      </t>
    </mdx>
    <mdx n="0" f="v">
      <t c="7" si="37">
        <n x="1" s="1"/>
        <n x="2" s="1"/>
        <n x="38" s="1"/>
        <n x="3"/>
        <n x="7"/>
        <n x="45"/>
        <n x="29"/>
      </t>
    </mdx>
    <mdx n="0" f="v">
      <t c="7" si="37">
        <n x="1" s="1"/>
        <n x="2" s="1"/>
        <n x="38" s="1"/>
        <n x="3"/>
        <n x="9"/>
        <n x="44"/>
        <n x="29"/>
      </t>
    </mdx>
    <mdx n="0" f="v">
      <t c="7" si="37">
        <n x="1" s="1"/>
        <n x="2" s="1"/>
        <n x="38" s="1"/>
        <n x="3"/>
        <n x="15"/>
        <n x="50"/>
        <n x="29"/>
      </t>
    </mdx>
    <mdx n="0" f="v">
      <t c="7" si="37">
        <n x="1" s="1"/>
        <n x="2" s="1"/>
        <n x="38" s="1"/>
        <n x="3"/>
        <n x="18"/>
        <n x="48"/>
        <n x="33"/>
      </t>
    </mdx>
    <mdx n="0" f="v">
      <t c="7" si="37">
        <n x="1" s="1"/>
        <n x="2" s="1"/>
        <n x="38" s="1"/>
        <n x="16"/>
        <n x="19"/>
        <n x="46"/>
        <n x="33"/>
      </t>
    </mdx>
    <mdx n="0" f="v">
      <t c="7" si="37">
        <n x="1" s="1"/>
        <n x="2" s="1"/>
        <n x="38" s="1"/>
        <n x="3"/>
        <n x="14"/>
        <n x="50"/>
        <n x="29"/>
      </t>
    </mdx>
    <mdx n="0" f="v">
      <t c="7" si="37">
        <n x="1" s="1"/>
        <n x="2" s="1"/>
        <n x="38" s="1"/>
        <n x="22"/>
        <n x="49"/>
        <n x="43"/>
        <n x="29"/>
      </t>
    </mdx>
    <mdx n="0" f="v">
      <t c="7" si="37">
        <n x="1" s="1"/>
        <n x="2" s="1"/>
        <n x="38" s="1"/>
        <n x="3"/>
        <n x="24"/>
        <n x="46"/>
        <n x="33"/>
      </t>
    </mdx>
    <mdx n="0" f="v">
      <t c="7" si="37">
        <n x="1" s="1"/>
        <n x="2" s="1"/>
        <n x="38" s="1"/>
        <n x="16"/>
        <n x="17"/>
        <n x="48"/>
        <n x="33"/>
      </t>
    </mdx>
    <mdx n="0" f="v">
      <t c="7" si="37">
        <n x="1" s="1"/>
        <n x="2" s="1"/>
        <n x="38" s="1"/>
        <n x="16"/>
        <n x="17"/>
        <n x="44"/>
        <n x="33"/>
      </t>
    </mdx>
    <mdx n="0" f="v">
      <t c="7" si="37">
        <n x="1" s="1"/>
        <n x="2" s="1"/>
        <n x="38" s="1"/>
        <n x="22"/>
        <n x="49"/>
        <n x="46"/>
        <n x="33"/>
      </t>
    </mdx>
    <mdx n="0" f="v">
      <t c="7" si="37">
        <n x="1" s="1"/>
        <n x="2" s="1"/>
        <n x="38" s="1"/>
        <n x="22"/>
        <n x="23"/>
        <n x="45"/>
        <n x="29"/>
      </t>
    </mdx>
    <mdx n="0" f="v">
      <t c="7" si="37">
        <n x="1" s="1"/>
        <n x="2" s="1"/>
        <n x="38" s="1"/>
        <n x="3"/>
        <n x="14"/>
        <n x="48"/>
        <n x="33"/>
      </t>
    </mdx>
    <mdx n="0" f="v">
      <t c="7" si="37">
        <n x="1" s="1"/>
        <n x="2" s="1"/>
        <n x="38" s="1"/>
        <n x="3"/>
        <n x="15"/>
        <n x="47"/>
        <n x="33"/>
      </t>
    </mdx>
    <mdx n="0" f="v">
      <t c="7" si="37">
        <n x="1" s="1"/>
        <n x="2" s="1"/>
        <n x="38" s="1"/>
        <n x="3"/>
        <n x="18"/>
        <n x="46"/>
        <n x="33"/>
      </t>
    </mdx>
    <mdx n="0" f="v">
      <t c="7" si="37">
        <n x="1" s="1"/>
        <n x="2" s="1"/>
        <n x="38" s="1"/>
        <n x="3"/>
        <n x="7"/>
        <n x="45"/>
        <n x="33"/>
      </t>
    </mdx>
    <mdx n="0" f="v">
      <t c="7" si="37">
        <n x="1" s="1"/>
        <n x="2" s="1"/>
        <n x="38" s="1"/>
        <n x="3"/>
        <n x="9"/>
        <n x="44"/>
        <n x="33"/>
      </t>
    </mdx>
    <mdx n="0" f="v">
      <t c="7" si="37">
        <n x="1" s="1"/>
        <n x="2" s="1"/>
        <n x="38" s="1"/>
        <n x="22"/>
        <n x="49"/>
        <n x="40"/>
        <n x="33"/>
      </t>
    </mdx>
    <mdx n="0" f="v">
      <t c="7" si="37">
        <n x="1" s="1"/>
        <n x="2" s="1"/>
        <n x="38" s="1"/>
        <n x="16"/>
        <n x="17"/>
        <n x="47"/>
        <n x="33"/>
      </t>
    </mdx>
    <mdx n="0" f="v">
      <t c="7" si="37">
        <n x="1" s="1"/>
        <n x="2" s="1"/>
        <n x="38" s="1"/>
        <n x="22"/>
        <n x="49"/>
        <n x="42"/>
        <n x="33"/>
      </t>
    </mdx>
    <mdx n="0" f="v">
      <t c="7" si="37">
        <n x="1" s="1"/>
        <n x="2" s="1"/>
        <n x="38" s="1"/>
        <n x="3"/>
        <n x="18"/>
        <n x="44"/>
        <n x="29"/>
      </t>
    </mdx>
    <mdx n="0" f="v">
      <t c="7" si="37">
        <n x="1" s="1"/>
        <n x="2" s="1"/>
        <n x="38" s="1"/>
        <n x="16"/>
        <n x="19"/>
        <n x="47"/>
        <n x="29"/>
      </t>
    </mdx>
    <mdx n="0" f="v">
      <t c="7" si="37">
        <n x="1" s="1"/>
        <n x="2" s="1"/>
        <n x="38" s="1"/>
        <n x="3"/>
        <n x="18"/>
        <n x="44"/>
        <n x="33"/>
      </t>
    </mdx>
    <mdx n="0" f="v">
      <t c="6" si="37">
        <n x="1" s="1"/>
        <n x="2" s="1"/>
        <n x="38" s="1"/>
        <n x="16"/>
        <n x="46"/>
        <n x="33"/>
      </t>
    </mdx>
    <mdx n="0" f="v">
      <t c="7" si="37">
        <n x="1" s="1"/>
        <n x="2" s="1"/>
        <n x="38" s="1"/>
        <n x="3"/>
        <n x="24"/>
        <n x="47"/>
        <n x="29"/>
      </t>
    </mdx>
    <mdx n="0" f="v">
      <t c="7" si="37">
        <n x="1" s="1"/>
        <n x="2" s="1"/>
        <n x="38" s="1"/>
        <n x="16"/>
        <n x="19"/>
        <n x="48"/>
        <n x="29"/>
      </t>
    </mdx>
    <mdx n="0" f="v">
      <t c="7" si="37">
        <n x="1" s="1"/>
        <n x="2" s="1"/>
        <n x="38" s="1"/>
        <n x="22"/>
        <n x="23"/>
        <n x="46"/>
        <n x="33"/>
      </t>
    </mdx>
    <mdx n="0" f="v">
      <t c="7" si="37">
        <n x="1" s="1"/>
        <n x="2" s="1"/>
        <n x="38" s="1"/>
        <n x="16"/>
        <n x="17"/>
        <n x="45"/>
        <n x="29"/>
      </t>
    </mdx>
    <mdx n="0" f="v">
      <t c="6" si="37">
        <n x="1" s="1"/>
        <n x="2" s="1"/>
        <n x="38" s="1"/>
        <n x="27"/>
        <n x="48"/>
        <n x="29"/>
      </t>
    </mdx>
    <mdx n="0" f="v">
      <t c="7" si="37">
        <n x="1" s="1"/>
        <n x="2" s="1"/>
        <n x="38" s="1"/>
        <n x="22"/>
        <n x="49"/>
        <n x="48"/>
        <n x="33"/>
      </t>
    </mdx>
    <mdx n="0" f="v">
      <t c="7" si="37">
        <n x="1" s="1"/>
        <n x="2" s="1"/>
        <n x="38" s="1"/>
        <n x="3"/>
        <n x="7"/>
        <n x="47"/>
        <n x="29"/>
      </t>
    </mdx>
    <mdx n="0" f="v">
      <t c="7" si="37">
        <n x="1" s="1"/>
        <n x="2" s="1"/>
        <n x="38" s="1"/>
        <n x="3"/>
        <n x="14"/>
        <n x="44"/>
        <n x="29"/>
      </t>
    </mdx>
    <mdx n="0" f="v">
      <t c="7" si="37">
        <n x="1" s="1"/>
        <n x="2" s="1"/>
        <n x="38" s="1"/>
        <n x="3"/>
        <n x="15"/>
        <n x="48"/>
        <n x="29"/>
      </t>
    </mdx>
    <mdx n="0" f="v">
      <t c="7" si="37">
        <n x="1" s="1"/>
        <n x="2" s="1"/>
        <n x="38" s="1"/>
        <n x="3"/>
        <n x="18"/>
        <n x="47"/>
        <n x="29"/>
      </t>
    </mdx>
    <mdx n="0" f="v">
      <t c="7" si="37">
        <n x="1" s="1"/>
        <n x="2" s="1"/>
        <n x="38" s="1"/>
        <n x="3"/>
        <n x="7"/>
        <n x="50"/>
        <n x="29"/>
      </t>
    </mdx>
    <mdx n="0" f="v">
      <t c="7" si="37">
        <n x="1" s="1"/>
        <n x="2" s="1"/>
        <n x="38" s="1"/>
        <n x="3"/>
        <n x="9"/>
        <n x="45"/>
        <n x="29"/>
      </t>
    </mdx>
    <mdx n="0" f="v">
      <t c="7" si="37">
        <n x="1" s="1"/>
        <n x="2" s="1"/>
        <n x="38" s="1"/>
        <n x="3"/>
        <n x="11"/>
        <n x="44"/>
        <n x="29"/>
      </t>
    </mdx>
    <mdx n="0" f="v">
      <t c="7" si="37">
        <n x="1" s="1"/>
        <n x="2" s="1"/>
        <n x="38" s="1"/>
        <n x="3"/>
        <n x="13"/>
        <n x="48"/>
        <n x="29"/>
      </t>
    </mdx>
    <mdx n="0" f="v">
      <t c="6" si="37">
        <n x="1" s="1"/>
        <n x="2" s="1"/>
        <n x="38" s="1"/>
        <n x="3"/>
        <n x="47"/>
        <n x="29"/>
      </t>
    </mdx>
    <mdx n="0" f="v">
      <t c="7" si="37">
        <n x="1" s="1"/>
        <n x="2" s="1"/>
        <n x="38" s="1"/>
        <n x="22"/>
        <n x="49"/>
        <n x="41"/>
        <n x="29"/>
      </t>
    </mdx>
    <mdx n="0" f="v">
      <t c="7" si="37">
        <n x="1" s="1"/>
        <n x="2" s="1"/>
        <n x="38" s="1"/>
        <n x="3"/>
        <n x="11"/>
        <n x="50"/>
        <n x="33"/>
      </t>
    </mdx>
    <mdx n="0" f="v">
      <t c="7" si="37">
        <n x="1" s="1"/>
        <n x="2" s="1"/>
        <n x="38" s="1"/>
        <n x="16"/>
        <n x="17"/>
        <n x="44"/>
        <n x="29"/>
      </t>
    </mdx>
    <mdx n="0" f="v">
      <t c="7" si="37">
        <n x="1" s="1"/>
        <n x="2" s="1"/>
        <n x="38" s="1"/>
        <n x="3"/>
        <n x="18"/>
        <n x="50"/>
        <n x="29"/>
      </t>
    </mdx>
    <mdx n="0" f="v">
      <t c="6" si="37">
        <n x="1" s="1"/>
        <n x="2" s="1"/>
        <n x="38" s="1"/>
        <n x="3"/>
        <n x="50"/>
        <n x="29"/>
      </t>
    </mdx>
    <mdx n="0" f="v">
      <t c="7" si="37">
        <n x="1" s="1"/>
        <n x="2" s="1"/>
        <n x="38" s="1"/>
        <n x="16"/>
        <n x="17"/>
        <n x="45"/>
        <n x="33"/>
      </t>
    </mdx>
    <mdx n="0" f="v">
      <t c="6" si="37">
        <n x="1" s="1"/>
        <n x="2" s="1"/>
        <n x="38" s="1"/>
        <n x="16"/>
        <n x="45"/>
        <n x="29"/>
      </t>
    </mdx>
    <mdx n="0" f="v">
      <t c="6" si="37">
        <n x="1" s="1"/>
        <n x="2" s="1"/>
        <n x="38" s="1"/>
        <n x="27"/>
        <n x="48"/>
        <n x="33"/>
      </t>
    </mdx>
    <mdx n="0" f="v">
      <t c="7" si="37">
        <n x="1" s="1"/>
        <n x="2" s="1"/>
        <n x="38" s="1"/>
        <n x="22"/>
        <n x="23"/>
        <n x="44"/>
        <n x="33"/>
      </t>
    </mdx>
    <mdx n="0" f="v">
      <t c="6" si="37">
        <n x="1" s="1"/>
        <n x="2" s="1"/>
        <n x="38" s="1"/>
        <n x="16"/>
        <n x="50"/>
        <n x="29"/>
      </t>
    </mdx>
    <mdx n="0" f="v">
      <t c="6" si="37">
        <n x="1" s="1"/>
        <n x="2" s="1"/>
        <n x="38" s="1"/>
        <n x="27"/>
        <n x="44"/>
        <n x="33"/>
      </t>
    </mdx>
    <mdx n="0" f="v">
      <t c="7" si="37">
        <n x="1" s="1"/>
        <n x="2" s="1"/>
        <n x="38" s="1"/>
        <n x="22"/>
        <n x="23"/>
        <n x="45"/>
        <n x="33"/>
      </t>
    </mdx>
    <mdx n="0" f="v">
      <t c="6" si="37">
        <n x="1" s="1"/>
        <n x="2" s="1"/>
        <n x="38" s="1"/>
        <n x="22"/>
        <n x="44"/>
        <n x="29"/>
      </t>
    </mdx>
    <mdx n="0" f="v">
      <t c="7" si="37">
        <n x="1" s="1"/>
        <n x="2" s="1"/>
        <n x="38" s="1"/>
        <n x="3"/>
        <n x="6"/>
        <n x="48"/>
        <n x="33"/>
      </t>
    </mdx>
    <mdx n="0" f="v">
      <t c="7" si="37">
        <n x="1" s="1"/>
        <n x="2" s="1"/>
        <n x="38" s="1"/>
        <n x="3"/>
        <n x="14"/>
        <n x="44"/>
        <n x="33"/>
      </t>
    </mdx>
    <mdx n="0" f="v">
      <t c="7" si="37">
        <n x="1" s="1"/>
        <n x="2" s="1"/>
        <n x="38" s="1"/>
        <n x="3"/>
        <n x="15"/>
        <n x="48"/>
        <n x="33"/>
      </t>
    </mdx>
    <mdx n="0" f="v">
      <t c="7" si="37">
        <n x="1" s="1"/>
        <n x="2" s="1"/>
        <n x="38" s="1"/>
        <n x="3"/>
        <n x="18"/>
        <n x="47"/>
        <n x="33"/>
      </t>
    </mdx>
    <mdx n="0" f="v">
      <t c="7" si="37">
        <n x="1" s="1"/>
        <n x="2" s="1"/>
        <n x="38" s="1"/>
        <n x="3"/>
        <n x="7"/>
        <n x="50"/>
        <n x="33"/>
      </t>
    </mdx>
    <mdx n="0" f="v">
      <t c="7" si="37">
        <n x="1" s="1"/>
        <n x="2" s="1"/>
        <n x="38" s="1"/>
        <n x="3"/>
        <n x="9"/>
        <n x="45"/>
        <n x="33"/>
      </t>
    </mdx>
    <mdx n="0" f="v">
      <t c="7" si="37">
        <n x="1" s="1"/>
        <n x="2" s="1"/>
        <n x="38" s="1"/>
        <n x="3"/>
        <n x="11"/>
        <n x="44"/>
        <n x="33"/>
      </t>
    </mdx>
    <mdx n="0" f="v">
      <t c="7" si="37">
        <n x="1" s="1"/>
        <n x="2" s="1"/>
        <n x="38" s="1"/>
        <n x="3"/>
        <n x="13"/>
        <n x="48"/>
        <n x="33"/>
      </t>
    </mdx>
    <mdx n="0" f="v">
      <t c="6" si="37">
        <n x="1" s="1"/>
        <n x="2" s="1"/>
        <n x="38" s="1"/>
        <n x="3"/>
        <n x="47"/>
        <n x="33"/>
      </t>
    </mdx>
    <mdx n="0" f="v">
      <t c="7" si="37">
        <n x="1" s="1"/>
        <n x="2" s="1"/>
        <n x="38" s="1"/>
        <n x="16"/>
        <n x="17"/>
        <n x="46"/>
        <n x="33"/>
      </t>
    </mdx>
    <mdx n="0" f="v">
      <t c="7" si="37">
        <n x="1" s="1"/>
        <n x="2" s="1"/>
        <n x="38" s="1"/>
        <n x="22"/>
        <n x="49"/>
        <n x="41"/>
        <n x="33"/>
      </t>
    </mdx>
    <mdx n="0" f="v">
      <t c="7" si="37">
        <n x="1" s="1"/>
        <n x="2" s="1"/>
        <n x="38" s="1"/>
        <n x="3"/>
        <n x="14"/>
        <n x="45"/>
        <n x="33"/>
      </t>
    </mdx>
    <mdx n="0" f="v">
      <t c="7" si="37">
        <n x="1" s="1"/>
        <n x="2" s="1"/>
        <n x="38" s="1"/>
        <n x="3"/>
        <n x="11"/>
        <n x="45"/>
        <n x="33"/>
      </t>
    </mdx>
    <mdx n="0" f="v">
      <t c="6" si="37">
        <n x="1" s="1"/>
        <n x="2" s="1"/>
        <n x="38" s="1"/>
        <n x="3"/>
        <n x="48"/>
        <n x="33"/>
      </t>
    </mdx>
    <mdx n="0" f="v">
      <t c="7" si="37">
        <n x="1" s="1"/>
        <n x="2" s="1"/>
        <n x="38" s="1"/>
        <n x="22"/>
        <n x="49"/>
        <n x="43"/>
        <n x="33"/>
      </t>
    </mdx>
    <mdx n="0" f="v">
      <t c="7" si="37">
        <n x="1" s="1"/>
        <n x="2" s="1"/>
        <n x="38" s="1"/>
        <n x="3"/>
        <n x="24"/>
        <n x="47"/>
        <n x="33"/>
      </t>
    </mdx>
    <mdx n="0" f="v">
      <t c="7" si="37">
        <n x="1" s="1"/>
        <n x="2" s="1"/>
        <n x="38" s="1"/>
        <n x="3"/>
        <n x="13"/>
        <n x="50"/>
        <n x="33"/>
      </t>
    </mdx>
    <mdx n="0" f="v">
      <t c="7" si="37">
        <n x="1" s="1"/>
        <n x="2" s="1"/>
        <n x="38" s="1"/>
        <n x="16"/>
        <n x="19"/>
        <n x="44"/>
        <n x="33"/>
      </t>
    </mdx>
    <mdx n="0" f="v">
      <t c="6" si="37">
        <n x="1" s="1"/>
        <n x="2" s="1"/>
        <n x="38" s="1"/>
        <n x="35"/>
        <n x="47"/>
        <n x="29"/>
      </t>
    </mdx>
    <mdx n="0" f="v">
      <t c="7" si="37">
        <n x="1" s="1"/>
        <n x="2" s="1"/>
        <n x="38" s="1"/>
        <n x="3"/>
        <n x="36"/>
        <n x="47"/>
        <n x="29"/>
      </t>
    </mdx>
    <mdx n="0" f="v">
      <t c="6" si="37">
        <n x="1" s="1"/>
        <n x="2" s="1"/>
        <n x="38" s="1"/>
        <n x="35"/>
        <n x="48"/>
        <n x="33"/>
      </t>
    </mdx>
    <mdx n="0" f="v">
      <t c="7" si="37">
        <n x="1" s="1"/>
        <n x="2" s="1"/>
        <n x="38" s="1"/>
        <n x="3"/>
        <n x="24"/>
        <n x="50"/>
        <n x="33"/>
      </t>
    </mdx>
    <mdx n="0" f="v">
      <t c="6" si="37">
        <n x="1" s="1"/>
        <n x="2" s="1"/>
        <n x="38" s="1"/>
        <n x="16"/>
        <n x="50"/>
        <n x="33"/>
      </t>
    </mdx>
    <mdx n="0" f="v">
      <t c="7" si="37">
        <n x="1" s="1"/>
        <n x="2" s="1"/>
        <n x="38" s="1"/>
        <n x="3"/>
        <n x="36"/>
        <n x="44"/>
        <n x="29"/>
      </t>
    </mdx>
    <mdx n="0" f="v">
      <t c="7" si="37">
        <n x="1" s="1"/>
        <n x="2" s="1"/>
        <n x="38" s="1"/>
        <n x="22"/>
        <n x="49"/>
        <n x="45"/>
        <n x="29"/>
      </t>
    </mdx>
    <mdx n="0" f="v">
      <t c="7" si="37">
        <n x="1" s="1"/>
        <n x="2" s="1"/>
        <n x="38" s="1"/>
        <n x="3"/>
        <n x="9"/>
        <n x="46"/>
        <n x="33"/>
      </t>
    </mdx>
    <mdx n="0" f="v">
      <t c="7" si="37">
        <n x="1" s="1"/>
        <n x="2" s="1"/>
        <n x="38" s="1"/>
        <n x="3"/>
        <n x="14"/>
        <n x="45"/>
        <n x="29"/>
      </t>
    </mdx>
    <mdx n="0" f="v">
      <t c="7" si="37">
        <n x="1" s="1"/>
        <n x="2" s="1"/>
        <n x="38" s="1"/>
        <n x="3"/>
        <n x="15"/>
        <n x="44"/>
        <n x="29"/>
      </t>
    </mdx>
    <mdx n="0" f="v">
      <t c="7" si="37">
        <n x="1" s="1"/>
        <n x="2" s="1"/>
        <n x="38" s="1"/>
        <n x="3"/>
        <n x="18"/>
        <n x="48"/>
        <n x="29"/>
      </t>
    </mdx>
    <mdx n="0" f="v">
      <t c="7" si="37">
        <n x="1" s="1"/>
        <n x="2" s="1"/>
        <n x="38" s="1"/>
        <n x="3"/>
        <n x="20"/>
        <n x="47"/>
        <n x="29"/>
      </t>
    </mdx>
    <mdx n="0" f="v">
      <t c="7" si="37">
        <n x="1" s="1"/>
        <n x="2" s="1"/>
        <n x="38" s="1"/>
        <n x="3"/>
        <n x="9"/>
        <n x="50"/>
        <n x="29"/>
      </t>
    </mdx>
    <mdx n="0" f="v">
      <t c="7" si="37">
        <n x="1" s="1"/>
        <n x="2" s="1"/>
        <n x="38" s="1"/>
        <n x="3"/>
        <n x="11"/>
        <n x="45"/>
        <n x="29"/>
      </t>
    </mdx>
    <mdx n="0" f="v">
      <t c="7" si="37">
        <n x="1" s="1"/>
        <n x="2" s="1"/>
        <n x="38" s="1"/>
        <n x="3"/>
        <n x="13"/>
        <n x="44"/>
        <n x="29"/>
      </t>
    </mdx>
    <mdx n="0" f="v">
      <t c="6" si="37">
        <n x="1" s="1"/>
        <n x="2" s="1"/>
        <n x="38" s="1"/>
        <n x="3"/>
        <n x="48"/>
        <n x="29"/>
      </t>
    </mdx>
    <mdx n="0" f="v">
      <t c="7" si="37">
        <n x="1" s="1"/>
        <n x="2" s="1"/>
        <n x="38" s="1"/>
        <n x="16"/>
        <n x="17"/>
        <n x="47"/>
        <n x="29"/>
      </t>
    </mdx>
    <mdx n="0" f="v">
      <t c="7" si="37">
        <n x="1" s="1"/>
        <n x="2" s="1"/>
        <n x="38" s="1"/>
        <n x="22"/>
        <n x="49"/>
        <n x="42"/>
        <n x="29"/>
      </t>
    </mdx>
    <mdx n="0" f="v">
      <t c="7" si="37">
        <n x="1" s="1"/>
        <n x="2" s="1"/>
        <n x="38" s="1"/>
        <n x="3"/>
        <n x="15"/>
        <n x="44"/>
        <n x="33"/>
      </t>
    </mdx>
    <mdx n="0" f="v">
      <t c="7" si="37">
        <n x="1" s="1"/>
        <n x="2" s="1"/>
        <n x="38" s="1"/>
        <n x="3"/>
        <n x="13"/>
        <n x="44"/>
        <n x="33"/>
      </t>
    </mdx>
    <mdx n="0" f="v">
      <t c="7" si="37">
        <n x="1" s="1"/>
        <n x="2" s="1"/>
        <n x="38" s="1"/>
        <n x="3"/>
        <n x="15"/>
        <n x="45"/>
        <n x="29"/>
      </t>
    </mdx>
    <mdx n="0" f="v">
      <t c="7" si="37">
        <n x="1" s="1"/>
        <n x="2" s="1"/>
        <n x="38" s="1"/>
        <n x="16"/>
        <n x="17"/>
        <n x="48"/>
        <n x="29"/>
      </t>
    </mdx>
    <mdx n="0" f="v">
      <t c="7" si="37">
        <n x="1" s="1"/>
        <n x="2" s="1"/>
        <n x="38" s="1"/>
        <n x="16"/>
        <n x="19"/>
        <n x="47"/>
        <n x="33"/>
      </t>
    </mdx>
    <mdx n="0" f="v">
      <t c="7" si="37">
        <n x="1" s="1"/>
        <n x="2" s="1"/>
        <n x="38" s="1"/>
        <n x="3"/>
        <n x="20"/>
        <n x="44"/>
        <n x="29"/>
      </t>
    </mdx>
    <mdx n="0" f="v">
      <t c="6" si="37">
        <n x="1" s="1"/>
        <n x="2" s="1"/>
        <n x="38" s="1"/>
        <n x="16"/>
        <n x="47"/>
        <n x="29"/>
      </t>
    </mdx>
    <mdx n="0" f="v">
      <t c="7" si="37">
        <n x="1" s="1"/>
        <n x="2" s="1"/>
        <n x="38" s="1"/>
        <n x="3"/>
        <n x="24"/>
        <n x="48"/>
        <n x="29"/>
      </t>
    </mdx>
    <mdx n="0" f="v">
      <t c="7" si="37">
        <n x="1" s="1"/>
        <n x="2" s="1"/>
        <n x="38" s="1"/>
        <n x="22"/>
        <n x="23"/>
        <n x="47"/>
        <n x="29"/>
      </t>
    </mdx>
    <mdx n="0" f="v">
      <t c="6" si="37">
        <n x="1" s="1"/>
        <n x="2" s="1"/>
        <n x="38" s="1"/>
        <n x="27"/>
        <n x="46"/>
        <n x="33"/>
      </t>
    </mdx>
    <mdx n="0" f="v">
      <t c="7" si="37">
        <n x="1" s="1"/>
        <n x="2" s="1"/>
        <n x="38" s="1"/>
        <n x="16"/>
        <n x="19"/>
        <n x="50"/>
        <n x="29"/>
      </t>
    </mdx>
    <mdx n="0" f="v">
      <t c="7" si="37">
        <n x="1" s="1"/>
        <n x="2" s="1"/>
        <n x="38" s="1"/>
        <n x="3"/>
        <n x="6"/>
        <n x="46"/>
        <n x="33"/>
      </t>
    </mdx>
    <mdx n="0" f="v">
      <t c="7" si="37">
        <n x="1" s="1"/>
        <n x="2" s="1"/>
        <n x="38" s="1"/>
        <n x="3"/>
        <n x="32"/>
        <n x="44"/>
        <n x="33"/>
      </t>
    </mdx>
    <mdx n="0" f="v">
      <t c="6" si="37">
        <n x="1" s="1"/>
        <n x="2" s="1"/>
        <n x="38" s="1"/>
        <n x="16"/>
        <n x="45"/>
        <n x="33"/>
      </t>
    </mdx>
    <mdx n="0" f="v">
      <t c="6" si="37">
        <n x="1" s="1"/>
        <n x="2" s="1"/>
        <n x="38" s="1"/>
        <n x="35"/>
        <n x="48"/>
        <n x="29"/>
      </t>
    </mdx>
    <mdx n="0" f="v">
      <t c="7" si="37">
        <n x="1" s="1"/>
        <n x="2" s="1"/>
        <n x="38" s="1"/>
        <n x="3"/>
        <n x="32"/>
        <n x="45"/>
        <n x="33"/>
      </t>
    </mdx>
    <mdx n="0" f="v">
      <t c="7" si="37">
        <n x="1" s="1"/>
        <n x="2" s="1"/>
        <n x="38" s="1"/>
        <n x="22"/>
        <n x="49"/>
        <n x="44"/>
        <n x="33"/>
      </t>
    </mdx>
    <mdx n="0" f="v">
      <t c="6" si="37">
        <n x="1" s="1"/>
        <n x="2" s="1"/>
        <n x="38" s="1"/>
        <n x="27"/>
        <n x="45"/>
        <n x="29"/>
      </t>
    </mdx>
    <mdx n="0" f="v">
      <t c="7" si="37">
        <n x="1" s="1"/>
        <n x="2" s="1"/>
        <n x="38" s="1"/>
        <n x="3"/>
        <n x="12"/>
        <n x="46"/>
        <n x="33"/>
      </t>
    </mdx>
    <mdx n="0" f="v">
      <t c="7" si="37">
        <n x="1" s="1"/>
        <n x="2" s="1"/>
        <n x="38" s="1"/>
        <n x="3"/>
        <n x="36"/>
        <n x="44"/>
        <n x="33"/>
      </t>
    </mdx>
    <mdx n="0" f="v">
      <t c="6" si="37">
        <n x="1" s="1"/>
        <n x="2" s="1"/>
        <n x="38" s="1"/>
        <n x="22"/>
        <n x="44"/>
        <n x="33"/>
      </t>
    </mdx>
    <mdx n="0" f="v">
      <t c="7" si="37">
        <n x="1" s="1"/>
        <n x="2" s="1"/>
        <n x="38" s="1"/>
        <n x="3"/>
        <n x="13"/>
        <n x="45"/>
        <n x="29"/>
      </t>
    </mdx>
    <mdx n="0" f="v">
      <t c="6" si="37">
        <n x="1" s="1"/>
        <n x="2" s="1"/>
        <n x="38" s="1"/>
        <n x="3"/>
        <n x="45"/>
        <n x="29"/>
      </t>
    </mdx>
    <mdx n="0" f="v">
      <t c="7" si="37">
        <n x="1" s="1"/>
        <n x="2" s="1"/>
        <n x="38" s="1"/>
        <n x="3"/>
        <n x="18"/>
        <n x="45"/>
        <n x="33"/>
      </t>
    </mdx>
    <mdx n="0" f="v">
      <t c="7" si="37">
        <n x="1" s="1"/>
        <n x="2" s="1"/>
        <n x="38" s="1"/>
        <n x="3"/>
        <n x="21"/>
        <n x="48"/>
        <n x="33"/>
      </t>
    </mdx>
    <mdx n="0" f="v">
      <t c="7" si="37">
        <n x="1" s="1"/>
        <n x="2" s="1"/>
        <n x="38" s="1"/>
        <n x="3"/>
        <n x="32"/>
        <n x="46"/>
        <n x="33"/>
      </t>
    </mdx>
    <mdx n="0" f="v">
      <t c="6" si="37">
        <n x="1" s="1"/>
        <n x="2" s="1"/>
        <n x="38" s="1"/>
        <n x="16"/>
        <n x="47"/>
        <n x="33"/>
      </t>
    </mdx>
    <mdx n="0" f="v">
      <t c="7" si="37">
        <n x="1" s="1"/>
        <n x="2" s="1"/>
        <n x="38" s="1"/>
        <n x="22"/>
        <n x="49"/>
        <n x="46"/>
        <n x="29"/>
      </t>
    </mdx>
    <mdx n="0" f="v">
      <t c="7" si="37">
        <n x="1" s="1"/>
        <n x="2" s="1"/>
        <n x="38" s="1"/>
        <n x="3"/>
        <n x="24"/>
        <n x="45"/>
        <n x="29"/>
      </t>
    </mdx>
    <mdx n="0" f="v">
      <t c="7" si="37">
        <n x="1" s="1"/>
        <n x="2" s="1"/>
        <n x="38" s="1"/>
        <n x="22"/>
        <n x="49"/>
        <n x="48"/>
        <n x="29"/>
      </t>
    </mdx>
    <mdx n="0" f="v">
      <t c="7" si="37">
        <n x="1" s="1"/>
        <n x="2" s="1"/>
        <n x="38" s="1"/>
        <n x="3"/>
        <n x="36"/>
        <n x="47"/>
        <n x="33"/>
      </t>
    </mdx>
    <mdx n="0" f="v">
      <t c="6" si="37">
        <n x="1" s="1"/>
        <n x="2" s="1"/>
        <n x="38" s="1"/>
        <n x="22"/>
        <n x="47"/>
        <n x="33"/>
      </t>
    </mdx>
    <mdx n="0" f="v">
      <t c="6" si="37">
        <n x="1" s="1"/>
        <n x="2" s="1"/>
        <n x="38" s="1"/>
        <n x="27"/>
        <n x="44"/>
        <n x="29"/>
      </t>
    </mdx>
    <mdx n="0" f="v">
      <t c="7" si="37">
        <n x="1" s="1"/>
        <n x="2" s="1"/>
        <n x="38" s="1"/>
        <n x="3"/>
        <n x="24"/>
        <n x="50"/>
        <n x="29"/>
      </t>
    </mdx>
    <mdx n="0" f="v">
      <t c="7" si="37">
        <n x="1" s="1"/>
        <n x="2" s="1"/>
        <n x="38" s="1"/>
        <n x="3"/>
        <n x="8"/>
        <n x="46"/>
        <n x="33"/>
      </t>
    </mdx>
    <mdx n="0" f="v">
      <t c="7" si="37">
        <n x="1" s="1"/>
        <n x="2" s="1"/>
        <n x="38" s="1"/>
        <n x="22"/>
        <n x="49"/>
        <n x="45"/>
        <n x="33"/>
      </t>
    </mdx>
    <mdx n="0" f="v">
      <t c="6" si="37">
        <n x="1" s="1"/>
        <n x="2" s="1"/>
        <n x="38" s="1"/>
        <n x="27"/>
        <n x="47"/>
        <n x="29"/>
      </t>
    </mdx>
    <mdx n="0" f="v">
      <t c="6" si="37">
        <n x="1" s="1"/>
        <n x="2" s="1"/>
        <n x="38" s="1"/>
        <n x="35"/>
        <n x="46"/>
        <n x="29"/>
      </t>
    </mdx>
    <mdx n="0" f="v">
      <t c="7" si="37">
        <n x="1" s="1"/>
        <n x="2" s="1"/>
        <n x="38" s="1"/>
        <n x="3"/>
        <n x="20"/>
        <n x="50"/>
        <n x="29"/>
      </t>
    </mdx>
    <mdx n="0" f="v">
      <t c="7" si="37">
        <n x="1" s="1"/>
        <n x="2" s="1"/>
        <n x="38" s="1"/>
        <n x="3"/>
        <n x="21"/>
        <n x="45"/>
        <n x="29"/>
      </t>
    </mdx>
    <mdx n="0" f="v">
      <t c="7" si="37">
        <n x="1" s="1"/>
        <n x="2" s="1"/>
        <n x="38" s="1"/>
        <n x="3"/>
        <n x="24"/>
        <n x="44"/>
        <n x="29"/>
      </t>
    </mdx>
    <mdx n="0" f="v">
      <t c="7" si="37">
        <n x="1" s="1"/>
        <n x="2" s="1"/>
        <n x="38" s="1"/>
        <n x="3"/>
        <n x="32"/>
        <n x="48"/>
        <n x="29"/>
      </t>
    </mdx>
    <mdx n="0" f="v">
      <t c="7" si="37">
        <n x="1" s="1"/>
        <n x="2" s="1"/>
        <n x="38" s="1"/>
        <n x="3"/>
        <n x="36"/>
        <n x="46"/>
        <n x="29"/>
      </t>
    </mdx>
    <mdx n="0" f="v">
      <t c="7" si="37">
        <n x="1" s="1"/>
        <n x="2" s="1"/>
        <n x="38" s="1"/>
        <n x="16"/>
        <n x="17"/>
        <n x="50"/>
        <n x="29"/>
      </t>
    </mdx>
    <mdx n="0" f="v">
      <t c="7" si="37">
        <n x="1" s="1"/>
        <n x="2" s="1"/>
        <n x="38" s="1"/>
        <n x="16"/>
        <n x="19"/>
        <n x="45"/>
        <n x="29"/>
      </t>
    </mdx>
    <mdx n="0" f="v">
      <t c="6" si="37">
        <n x="1" s="1"/>
        <n x="2" s="1"/>
        <n x="38" s="1"/>
        <n x="16"/>
        <n x="44"/>
        <n x="29"/>
      </t>
    </mdx>
    <mdx n="0" f="v">
      <t c="7" si="37">
        <n x="1" s="1"/>
        <n x="2" s="1"/>
        <n x="38" s="1"/>
        <n x="22"/>
        <n x="23"/>
        <n x="48"/>
        <n x="29"/>
      </t>
    </mdx>
    <mdx n="0" f="v">
      <t c="7" si="37">
        <n x="1" s="1"/>
        <n x="2" s="1"/>
        <n x="38" s="1"/>
        <n x="22"/>
        <n x="49"/>
        <n x="47"/>
        <n x="29"/>
      </t>
    </mdx>
    <mdx n="0" f="v">
      <t c="6" si="37">
        <n x="1" s="1"/>
        <n x="2" s="1"/>
        <n x="38" s="1"/>
        <n x="22"/>
        <n x="46"/>
        <n x="29"/>
      </t>
    </mdx>
    <mdx n="0" f="v">
      <t c="6" si="37">
        <n x="1" s="1"/>
        <n x="2" s="1"/>
        <n x="38" s="1"/>
        <n x="27"/>
        <n x="47"/>
        <n x="33"/>
      </t>
    </mdx>
    <mdx n="0" f="v">
      <t c="6" si="37">
        <n x="1" s="1"/>
        <n x="2" s="1"/>
        <n x="38" s="1"/>
        <n x="35"/>
        <n x="46"/>
        <n x="33"/>
      </t>
    </mdx>
    <mdx n="0" f="v">
      <t c="7" si="37">
        <n x="1" s="1"/>
        <n x="2" s="1"/>
        <n x="38" s="1"/>
        <n x="3"/>
        <n x="20"/>
        <n x="50"/>
        <n x="33"/>
      </t>
    </mdx>
    <mdx n="0" f="v">
      <t c="7" si="37">
        <n x="1" s="1"/>
        <n x="2" s="1"/>
        <n x="38" s="1"/>
        <n x="3"/>
        <n x="21"/>
        <n x="45"/>
        <n x="33"/>
      </t>
    </mdx>
    <mdx n="0" f="v">
      <t c="7" si="37">
        <n x="1" s="1"/>
        <n x="2" s="1"/>
        <n x="38" s="1"/>
        <n x="3"/>
        <n x="24"/>
        <n x="44"/>
        <n x="33"/>
      </t>
    </mdx>
    <mdx n="0" f="v">
      <t c="7" si="37">
        <n x="1" s="1"/>
        <n x="2" s="1"/>
        <n x="38" s="1"/>
        <n x="3"/>
        <n x="32"/>
        <n x="48"/>
        <n x="33"/>
      </t>
    </mdx>
    <mdx n="0" f="v">
      <t c="7" si="37">
        <n x="1" s="1"/>
        <n x="2" s="1"/>
        <n x="38" s="1"/>
        <n x="3"/>
        <n x="34"/>
        <n x="47"/>
        <n x="33"/>
      </t>
    </mdx>
    <mdx n="0" f="v">
      <t c="7" si="37">
        <n x="1" s="1"/>
        <n x="2" s="1"/>
        <n x="38" s="1"/>
        <n x="3"/>
        <n x="36"/>
        <n x="46"/>
        <n x="33"/>
      </t>
    </mdx>
    <mdx n="0" f="v">
      <t c="7" si="37">
        <n x="1" s="1"/>
        <n x="2" s="1"/>
        <n x="38" s="1"/>
        <n x="16"/>
        <n x="17"/>
        <n x="50"/>
        <n x="33"/>
      </t>
    </mdx>
    <mdx n="0" f="v">
      <t c="7" si="37">
        <n x="1" s="1"/>
        <n x="2" s="1"/>
        <n x="38" s="1"/>
        <n x="16"/>
        <n x="19"/>
        <n x="45"/>
        <n x="33"/>
      </t>
    </mdx>
    <mdx n="0" f="v">
      <t c="6" si="37">
        <n x="1" s="1"/>
        <n x="2" s="1"/>
        <n x="38" s="1"/>
        <n x="16"/>
        <n x="44"/>
        <n x="33"/>
      </t>
    </mdx>
    <mdx n="0" f="v">
      <t c="7" si="37">
        <n x="1" s="1"/>
        <n x="2" s="1"/>
        <n x="38" s="1"/>
        <n x="22"/>
        <n x="23"/>
        <n x="48"/>
        <n x="33"/>
      </t>
    </mdx>
    <mdx n="0" f="v">
      <t c="7" si="37">
        <n x="1" s="1"/>
        <n x="2" s="1"/>
        <n x="38" s="1"/>
        <n x="22"/>
        <n x="49"/>
        <n x="47"/>
        <n x="33"/>
      </t>
    </mdx>
    <mdx n="0" f="v">
      <t c="6" si="37">
        <n x="1" s="1"/>
        <n x="2" s="1"/>
        <n x="38" s="1"/>
        <n x="22"/>
        <n x="46"/>
        <n x="33"/>
      </t>
    </mdx>
    <mdx n="0" f="v">
      <t c="7" si="37">
        <n x="1" s="1"/>
        <n x="2" s="1"/>
        <n x="38" s="1"/>
        <n x="22"/>
        <n x="49"/>
        <n x="51"/>
        <n x="33"/>
      </t>
    </mdx>
    <mdx n="0" f="v">
      <t c="7" si="37">
        <n x="1" s="1"/>
        <n x="2" s="1"/>
        <n x="38" s="1"/>
        <n x="3"/>
        <n x="8"/>
        <n x="46"/>
        <n x="29"/>
      </t>
    </mdx>
    <mdx n="0" f="v">
      <t c="7" si="37">
        <n x="1" s="1"/>
        <n x="2" s="1"/>
        <n x="38" s="1"/>
        <n x="3"/>
        <n x="12"/>
        <n x="51"/>
        <n x="33"/>
      </t>
    </mdx>
    <mdx n="0" f="v">
      <t c="7" si="37">
        <n x="1" s="1"/>
        <n x="2" s="1"/>
        <n x="38" s="1"/>
        <n x="3"/>
        <n x="5"/>
        <n x="47"/>
        <n x="33"/>
      </t>
    </mdx>
    <mdx n="0" f="v">
      <t c="7" si="37">
        <n x="1" s="1"/>
        <n x="2" s="1"/>
        <n x="38" s="1"/>
        <n x="3"/>
        <n x="11"/>
        <n x="51"/>
        <n x="33"/>
      </t>
    </mdx>
    <mdx n="0" f="v">
      <t c="7" si="37">
        <n x="1" s="1"/>
        <n x="2" s="1"/>
        <n x="38" s="1"/>
        <n x="22"/>
        <n x="23"/>
        <n x="50"/>
        <n x="33"/>
      </t>
    </mdx>
    <mdx n="0" f="v">
      <t c="7" si="37">
        <n x="1" s="1"/>
        <n x="2" s="1"/>
        <n x="38" s="1"/>
        <n x="3"/>
        <n x="18"/>
        <n x="51"/>
        <n x="33"/>
      </t>
    </mdx>
    <mdx n="0" f="v">
      <t c="7" si="37">
        <n x="1" s="1"/>
        <n x="2" s="1"/>
        <n x="38" s="1"/>
        <n x="3"/>
        <n x="9"/>
        <n x="47"/>
        <n x="29"/>
      </t>
    </mdx>
    <mdx n="0" f="v">
      <t c="6" si="37">
        <n x="1" s="1"/>
        <n x="2" s="1"/>
        <n x="38" s="1"/>
        <n x="16"/>
        <n x="48"/>
        <n x="33"/>
      </t>
    </mdx>
    <mdx n="0" f="v">
      <t c="6" si="37">
        <n x="1" s="1"/>
        <n x="2" s="1"/>
        <n x="38" s="1"/>
        <n x="16"/>
        <n x="48"/>
        <n x="29"/>
      </t>
    </mdx>
    <mdx n="0" f="v">
      <t c="7" si="37">
        <n x="1" s="1"/>
        <n x="2" s="1"/>
        <n x="38" s="1"/>
        <n x="22"/>
        <n x="23"/>
        <n x="50"/>
        <n x="29"/>
      </t>
    </mdx>
    <mdx n="0" f="v">
      <t c="7" si="37">
        <n x="1" s="1"/>
        <n x="2" s="1"/>
        <n x="38" s="1"/>
        <n x="22"/>
        <n x="23"/>
        <n x="51"/>
        <n x="29"/>
      </t>
    </mdx>
    <mdx n="0" f="v">
      <t c="7" si="37">
        <n x="1" s="1"/>
        <n x="2" s="1"/>
        <n x="38" s="1"/>
        <n x="3"/>
        <n x="14"/>
        <n x="47"/>
        <n x="29"/>
      </t>
    </mdx>
    <mdx n="0" f="v">
      <t c="7" si="37">
        <n x="1" s="1"/>
        <n x="2" s="1"/>
        <n x="38" s="1"/>
        <n x="3"/>
        <n x="14"/>
        <n x="46"/>
        <n x="33"/>
      </t>
    </mdx>
    <mdx n="0" f="v">
      <t c="7" si="37">
        <n x="1" s="1"/>
        <n x="2" s="1"/>
        <n x="38" s="1"/>
        <n x="3"/>
        <n x="14"/>
        <n x="46"/>
        <n x="29"/>
      </t>
    </mdx>
    <mdx n="0" f="v">
      <t c="7" si="37">
        <n x="1" s="1"/>
        <n x="2" s="1"/>
        <n x="38" s="1"/>
        <n x="3"/>
        <n x="15"/>
        <n x="46"/>
        <n x="29"/>
      </t>
    </mdx>
    <mdx n="0" f="v">
      <t c="7" si="37">
        <n x="1" s="1"/>
        <n x="2" s="1"/>
        <n x="38" s="1"/>
        <n x="3"/>
        <n x="15"/>
        <n x="51"/>
        <n x="33"/>
      </t>
    </mdx>
    <mdx n="0" f="v">
      <t c="7" si="37">
        <n x="1" s="1"/>
        <n x="2" s="1"/>
        <n x="38" s="1"/>
        <n x="3"/>
        <n x="15"/>
        <n x="45"/>
        <n x="33"/>
      </t>
    </mdx>
    <mdx n="0" f="v">
      <t c="7" si="37">
        <n x="1" s="1"/>
        <n x="2" s="1"/>
        <n x="38" s="1"/>
        <n x="3"/>
        <n x="15"/>
        <n x="51"/>
        <n x="29"/>
      </t>
    </mdx>
    <mdx n="0" f="v">
      <t c="7" si="37">
        <n x="1" s="1"/>
        <n x="2" s="1"/>
        <n x="38" s="1"/>
        <n x="3"/>
        <n x="7"/>
        <n x="51"/>
        <n x="33"/>
      </t>
    </mdx>
    <mdx n="0" f="v">
      <t c="7" si="37">
        <n x="1" s="1"/>
        <n x="2" s="1"/>
        <n x="38" s="1"/>
        <n x="3"/>
        <n x="7"/>
        <n x="44"/>
        <n x="29"/>
      </t>
    </mdx>
    <mdx n="0" f="v">
      <t c="7" si="37">
        <n x="1" s="1"/>
        <n x="2" s="1"/>
        <n x="38" s="1"/>
        <n x="3"/>
        <n x="7"/>
        <n x="47"/>
        <n x="33"/>
      </t>
    </mdx>
    <mdx n="0" f="v">
      <t c="7" si="37">
        <n x="1" s="1"/>
        <n x="2" s="1"/>
        <n x="38" s="1"/>
        <n x="3"/>
        <n x="7"/>
        <n x="46"/>
        <n x="29"/>
      </t>
    </mdx>
    <mdx n="0" f="v">
      <t c="7" si="37">
        <n x="1" s="1"/>
        <n x="2" s="1"/>
        <n x="38" s="1"/>
        <n x="3"/>
        <n x="7"/>
        <n x="51"/>
        <n x="29"/>
      </t>
    </mdx>
    <mdx n="0" f="v">
      <t c="7" si="37">
        <n x="1" s="1"/>
        <n x="2" s="1"/>
        <n x="38" s="1"/>
        <n x="3"/>
        <n x="7"/>
        <n x="44"/>
        <n x="33"/>
      </t>
    </mdx>
    <mdx n="0" f="v">
      <t c="7" si="37">
        <n x="1" s="1"/>
        <n x="2" s="1"/>
        <n x="38" s="1"/>
        <n x="3"/>
        <n x="7"/>
        <n x="48"/>
        <n x="33"/>
      </t>
    </mdx>
    <mdx n="0" f="v">
      <t c="7" si="37">
        <n x="1" s="1"/>
        <n x="2" s="1"/>
        <n x="38" s="1"/>
        <n x="3"/>
        <n x="7"/>
        <n x="46"/>
        <n x="33"/>
      </t>
    </mdx>
    <mdx n="0" f="v">
      <t c="7" si="37">
        <n x="1" s="1"/>
        <n x="2" s="1"/>
        <n x="38" s="1"/>
        <n x="3"/>
        <n x="7"/>
        <n x="48"/>
        <n x="29"/>
      </t>
    </mdx>
    <mdx n="0" f="v">
      <t c="7" si="37">
        <n x="1" s="1"/>
        <n x="2" s="1"/>
        <n x="38" s="1"/>
        <n x="3"/>
        <n x="24"/>
        <n x="48"/>
        <n x="33"/>
      </t>
    </mdx>
    <mdx n="0" f="v">
      <t c="7" si="37">
        <n x="1" s="1"/>
        <n x="2" s="1"/>
        <n x="38" s="1"/>
        <n x="16"/>
        <n x="19"/>
        <n x="48"/>
        <n x="33"/>
      </t>
    </mdx>
    <mdx n="0" f="v">
      <t c="7" si="37">
        <n x="1" s="1"/>
        <n x="2" s="1"/>
        <n x="38" s="1"/>
        <n x="3"/>
        <n x="9"/>
        <n x="48"/>
        <n x="33"/>
      </t>
    </mdx>
    <mdx n="0" f="v">
      <t c="6" si="37">
        <n x="1" s="1"/>
        <n x="2" s="1"/>
        <n x="38" s="1"/>
        <n x="27"/>
        <n x="45"/>
        <n x="33"/>
      </t>
    </mdx>
    <mdx n="0" f="v">
      <t c="6" si="37">
        <n x="1" s="1"/>
        <n x="2" s="1"/>
        <n x="38" s="1"/>
        <n x="27"/>
        <n x="46"/>
        <n x="29"/>
      </t>
    </mdx>
    <mdx n="0" f="v">
      <t c="6" si="37">
        <n x="1" s="1"/>
        <n x="2" s="1"/>
        <n x="38" s="1"/>
        <n x="27"/>
        <n x="50"/>
        <n x="33"/>
      </t>
    </mdx>
    <mdx n="0" f="v">
      <t c="6" si="37">
        <n x="1" s="1"/>
        <n x="2" s="1"/>
        <n x="38" s="1"/>
        <n x="27"/>
        <n x="51"/>
        <n x="33"/>
      </t>
    </mdx>
    <mdx n="0" f="v">
      <t c="6" si="37">
        <n x="1" s="1"/>
        <n x="2" s="1"/>
        <n x="38" s="1"/>
        <n x="27"/>
        <n x="50"/>
        <n x="29"/>
      </t>
    </mdx>
    <mdx n="0" f="v">
      <t c="7" si="37">
        <n x="1" s="1"/>
        <n x="2" s="1"/>
        <n x="38" s="1"/>
        <n x="22"/>
        <n x="49"/>
        <n x="40"/>
        <n x="29"/>
      </t>
    </mdx>
    <mdx n="0" f="v">
      <t c="7" si="37">
        <n x="1" s="1"/>
        <n x="2" s="1"/>
        <n x="38" s="1"/>
        <n x="22"/>
        <n x="49"/>
        <n x="51"/>
        <n x="29"/>
      </t>
    </mdx>
    <mdx n="0" f="v">
      <t c="7" si="37">
        <n x="1" s="1"/>
        <n x="2" s="1"/>
        <n x="38" s="1"/>
        <n x="22"/>
        <n x="49"/>
        <n x="39"/>
        <n x="29"/>
      </t>
    </mdx>
    <mdx n="0" f="v">
      <t c="7" si="37">
        <n x="1" s="1"/>
        <n x="2" s="1"/>
        <n x="38" s="1"/>
        <n x="22"/>
        <n x="49"/>
        <n x="44"/>
        <n x="29"/>
      </t>
    </mdx>
    <mdx n="0" f="v">
      <t c="7" si="37">
        <n x="1" s="1"/>
        <n x="2" s="1"/>
        <n x="38" s="1"/>
        <n x="22"/>
        <n x="49"/>
        <n x="50"/>
        <n x="33"/>
      </t>
    </mdx>
    <mdx n="0" f="v">
      <t c="6" si="37">
        <n x="1" s="1"/>
        <n x="2" s="1"/>
        <n x="38" s="1"/>
        <n x="22"/>
        <n x="49"/>
        <n x="33"/>
      </t>
    </mdx>
    <mdx n="0" f="v">
      <t c="7" si="37">
        <n x="1" s="1"/>
        <n x="2" s="1"/>
        <n x="38" s="1"/>
        <n x="22"/>
        <n x="49"/>
        <n x="39"/>
        <n x="33"/>
      </t>
    </mdx>
    <mdx n="0" f="v">
      <t c="7" si="37">
        <n x="1" s="1"/>
        <n x="2" s="1"/>
        <n x="38" s="1"/>
        <n x="22"/>
        <n x="49"/>
        <n x="50"/>
        <n x="29"/>
      </t>
    </mdx>
    <mdx n="0" f="v">
      <t c="6" si="37">
        <n x="1" s="1"/>
        <n x="2" s="1"/>
        <n x="38" s="1"/>
        <n x="22"/>
        <n x="49"/>
        <n x="29"/>
      </t>
    </mdx>
    <mdx n="0" f="v">
      <t c="6" si="37">
        <n x="1" s="1"/>
        <n x="2" s="1"/>
        <n x="38" s="1"/>
        <n x="35"/>
        <n x="44"/>
        <n x="29"/>
      </t>
    </mdx>
    <mdx n="0" f="v">
      <t c="6" si="37">
        <n x="1" s="1"/>
        <n x="2" s="1"/>
        <n x="38" s="1"/>
        <n x="35"/>
        <n x="47"/>
        <n x="33"/>
      </t>
    </mdx>
    <mdx n="0" f="v">
      <t c="6" si="37">
        <n x="1" s="1"/>
        <n x="2" s="1"/>
        <n x="38" s="1"/>
        <n x="35"/>
        <n x="44"/>
        <n x="33"/>
      </t>
    </mdx>
    <mdx n="0" f="v">
      <t c="6" si="37">
        <n x="1" s="1"/>
        <n x="2" s="1"/>
        <n x="38" s="1"/>
        <n x="35"/>
        <n x="50"/>
        <n x="29"/>
      </t>
    </mdx>
    <mdx n="0" f="v">
      <t c="6" si="37">
        <n x="1" s="1"/>
        <n x="2" s="1"/>
        <n x="38" s="1"/>
        <n x="35"/>
        <n x="51"/>
        <n x="33"/>
      </t>
    </mdx>
    <mdx n="0" f="v">
      <t c="6" si="37">
        <n x="1" s="1"/>
        <n x="2" s="1"/>
        <n x="38" s="1"/>
        <n x="35"/>
        <n x="50"/>
        <n x="33"/>
      </t>
    </mdx>
    <mdx n="0" f="v">
      <t c="6" si="37">
        <n x="1" s="1"/>
        <n x="2" s="1"/>
        <n x="38" s="1"/>
        <n x="35"/>
        <n x="45"/>
        <n x="33"/>
      </t>
    </mdx>
    <mdx n="0" f="v">
      <t c="6" si="37">
        <n x="1" s="1"/>
        <n x="2" s="1"/>
        <n x="38" s="1"/>
        <n x="35"/>
        <n x="45"/>
        <n x="29"/>
      </t>
    </mdx>
    <mdx n="0" f="v">
      <t c="6" si="37">
        <n x="1" s="1"/>
        <n x="2" s="1"/>
        <n x="38" s="1"/>
        <n x="22"/>
        <n x="47"/>
        <n x="29"/>
      </t>
    </mdx>
    <mdx n="0" f="v">
      <t c="6" si="37">
        <n x="1" s="1"/>
        <n x="2" s="1"/>
        <n x="38" s="1"/>
        <n x="22"/>
        <n x="51"/>
        <n x="29"/>
      </t>
    </mdx>
    <mdx n="0" f="v">
      <t c="6" si="37">
        <n x="1" s="1"/>
        <n x="2" s="1"/>
        <n x="38" s="1"/>
        <n x="22"/>
        <n x="48"/>
        <n x="33"/>
      </t>
    </mdx>
    <mdx n="0" f="v">
      <t c="6" si="37">
        <n x="1" s="1"/>
        <n x="2" s="1"/>
        <n x="38" s="1"/>
        <n x="22"/>
        <n x="50"/>
        <n x="33"/>
      </t>
    </mdx>
    <mdx n="0" f="v">
      <t c="6" si="37">
        <n x="1" s="1"/>
        <n x="2" s="1"/>
        <n x="38" s="1"/>
        <n x="22"/>
        <n x="48"/>
        <n x="29"/>
      </t>
    </mdx>
    <mdx n="0" f="v">
      <t c="6" si="37">
        <n x="1" s="1"/>
        <n x="2" s="1"/>
        <n x="38" s="1"/>
        <n x="22"/>
        <n x="50"/>
        <n x="29"/>
      </t>
    </mdx>
    <mdx n="0" f="v">
      <t c="6" si="37">
        <n x="1" s="1"/>
        <n x="2" s="1"/>
        <n x="38" s="1"/>
        <n x="22"/>
        <n x="45"/>
        <n x="33"/>
      </t>
    </mdx>
    <mdx n="0" f="v">
      <t c="6" si="37">
        <n x="1" s="1"/>
        <n x="2" s="1"/>
        <n x="38" s="1"/>
        <n x="22"/>
        <n x="51"/>
        <n x="33"/>
      </t>
    </mdx>
    <mdx n="0" f="v">
      <t c="6" si="37">
        <n x="1" s="1"/>
        <n x="2" s="1"/>
        <n x="38" s="1"/>
        <n x="22"/>
        <n x="45"/>
        <n x="29"/>
      </t>
    </mdx>
    <mdx n="0" f="v">
      <t c="7" si="37">
        <n x="1" s="1"/>
        <n x="2" s="1"/>
        <n x="38" s="1"/>
        <n x="3"/>
        <n x="15"/>
        <n x="50"/>
        <n x="33"/>
      </t>
    </mdx>
    <mdx n="0" f="v">
      <t c="7" si="37">
        <n x="1" s="1"/>
        <n x="2" s="1"/>
        <n x="38" s="1"/>
        <n x="3"/>
        <n x="9"/>
        <n x="50"/>
        <n x="33"/>
      </t>
    </mdx>
    <mdx n="0" f="v">
      <t c="7" si="37">
        <n x="1" s="1"/>
        <n x="2" s="1"/>
        <n x="38" s="1"/>
        <n x="16"/>
        <n x="19"/>
        <n x="50"/>
        <n x="33"/>
      </t>
    </mdx>
    <mdx n="0" f="v">
      <t c="7" si="37">
        <n x="1" s="1"/>
        <n x="2" s="1"/>
        <n x="38" s="1"/>
        <n x="3"/>
        <n x="18"/>
        <n x="50"/>
        <n x="33"/>
      </t>
    </mdx>
    <mdx n="0" f="v">
      <t c="7" si="37">
        <n x="1" s="1"/>
        <n x="2" s="1"/>
        <n x="38" s="1"/>
        <n x="3"/>
        <n x="14"/>
        <n x="50"/>
        <n x="33"/>
      </t>
    </mdx>
    <mdx n="0" f="v">
      <t c="7" si="37">
        <n x="1" s="1"/>
        <n x="2" s="1"/>
        <n x="38" s="1"/>
        <n x="3"/>
        <n x="11"/>
        <n x="48"/>
        <n x="33"/>
      </t>
    </mdx>
    <mdx n="0" f="v">
      <t c="7" si="37">
        <n x="1" s="1"/>
        <n x="2" s="1"/>
        <n x="38" s="1"/>
        <n x="3"/>
        <n x="11"/>
        <n x="48"/>
        <n x="29"/>
      </t>
    </mdx>
    <mdx n="0" f="v">
      <t c="7" si="37">
        <n x="1" s="1"/>
        <n x="2" s="1"/>
        <n x="38" s="1"/>
        <n x="3"/>
        <n x="11"/>
        <n x="50"/>
        <n x="29"/>
      </t>
    </mdx>
    <mdx n="0" f="v">
      <t c="7" si="37">
        <n x="1" s="1"/>
        <n x="2" s="1"/>
        <n x="38" s="1"/>
        <n x="3"/>
        <n x="11"/>
        <n x="47"/>
        <n x="33"/>
      </t>
    </mdx>
    <mdx n="0" f="v">
      <t c="7" si="37">
        <n x="1" s="1"/>
        <n x="2" s="1"/>
        <n x="38" s="1"/>
        <n x="3"/>
        <n x="11"/>
        <n x="51"/>
        <n x="29"/>
      </t>
    </mdx>
    <mdx n="0" f="v">
      <t c="7" si="37">
        <n x="1" s="1"/>
        <n x="2" s="1"/>
        <n x="38" s="1"/>
        <n x="3"/>
        <n x="11"/>
        <n x="47"/>
        <n x="29"/>
      </t>
    </mdx>
    <mdx n="0" f="v">
      <t c="7" si="37">
        <n x="1" s="1"/>
        <n x="2" s="1"/>
        <n x="38" s="1"/>
        <n x="3"/>
        <n x="11"/>
        <n x="46"/>
        <n x="33"/>
      </t>
    </mdx>
    <mdx n="0" f="v">
      <t c="7" si="37">
        <n x="1" s="1"/>
        <n x="2" s="1"/>
        <n x="38" s="1"/>
        <n x="3"/>
        <n x="11"/>
        <n x="46"/>
        <n x="29"/>
      </t>
    </mdx>
    <mdx n="0" f="v">
      <t c="7" si="37">
        <n x="1" s="1"/>
        <n x="2" s="1"/>
        <n x="38" s="1"/>
        <n x="3"/>
        <n x="13"/>
        <n x="47"/>
        <n x="33"/>
      </t>
    </mdx>
    <mdx n="0" f="v">
      <t c="7" si="37">
        <n x="1" s="1"/>
        <n x="2" s="1"/>
        <n x="38" s="1"/>
        <n x="3"/>
        <n x="13"/>
        <n x="47"/>
        <n x="29"/>
      </t>
    </mdx>
    <mdx n="0" f="v">
      <t c="7" si="37">
        <n x="1" s="1"/>
        <n x="2" s="1"/>
        <n x="38" s="1"/>
        <n x="3"/>
        <n x="13"/>
        <n x="46"/>
        <n x="33"/>
      </t>
    </mdx>
    <mdx n="0" f="v">
      <t c="7" si="37">
        <n x="1" s="1"/>
        <n x="2" s="1"/>
        <n x="38" s="1"/>
        <n x="3"/>
        <n x="13"/>
        <n x="46"/>
        <n x="29"/>
      </t>
    </mdx>
    <mdx n="0" f="v">
      <t c="7" si="37">
        <n x="1" s="1"/>
        <n x="2" s="1"/>
        <n x="38" s="1"/>
        <n x="3"/>
        <n x="13"/>
        <n x="50"/>
        <n x="29"/>
      </t>
    </mdx>
    <mdx n="0" f="v">
      <t c="7" si="37">
        <n x="1" s="1"/>
        <n x="2" s="1"/>
        <n x="38" s="1"/>
        <n x="3"/>
        <n x="13"/>
        <n x="45"/>
        <n x="33"/>
      </t>
    </mdx>
    <mdx n="0" f="v">
      <t c="7" si="37">
        <n x="1" s="1"/>
        <n x="2" s="1"/>
        <n x="38" s="1"/>
        <n x="3"/>
        <n x="13"/>
        <n x="51"/>
        <n x="33"/>
      </t>
    </mdx>
    <mdx n="0" f="v">
      <t c="7" si="37">
        <n x="1" s="1"/>
        <n x="2" s="1"/>
        <n x="38" s="1"/>
        <n x="3"/>
        <n x="13"/>
        <n x="51"/>
        <n x="29"/>
      </t>
    </mdx>
    <mdx n="0" f="v">
      <t c="6" si="37">
        <n x="1" s="1"/>
        <n x="2" s="1"/>
        <n x="38" s="1"/>
        <n x="3"/>
        <n x="50"/>
        <n x="33"/>
      </t>
    </mdx>
    <mdx n="0" f="v">
      <t c="6" si="37">
        <n x="1" s="1"/>
        <n x="2" s="1"/>
        <n x="38" s="1"/>
        <n x="3"/>
        <n x="46"/>
        <n x="33"/>
      </t>
    </mdx>
    <mdx n="0" f="v">
      <t c="6" si="37">
        <n x="1" s="1"/>
        <n x="2" s="1"/>
        <n x="38" s="1"/>
        <n x="3"/>
        <n x="46"/>
        <n x="29"/>
      </t>
    </mdx>
    <mdx n="0" f="v">
      <t c="6" si="37">
        <n x="1" s="1"/>
        <n x="2" s="1"/>
        <n x="38" s="1"/>
        <n x="3"/>
        <n x="44"/>
        <n x="33"/>
      </t>
    </mdx>
    <mdx n="0" f="v">
      <t c="6" si="37">
        <n x="1" s="1"/>
        <n x="2" s="1"/>
        <n x="38" s="1"/>
        <n x="3"/>
        <n x="44"/>
        <n x="29"/>
      </t>
    </mdx>
    <mdx n="0" f="v">
      <t c="6" si="37">
        <n x="1" s="1"/>
        <n x="2" s="1"/>
        <n x="38" s="1"/>
        <n x="3"/>
        <n x="51"/>
        <n x="29"/>
      </t>
    </mdx>
    <mdx n="0" f="v">
      <t c="6" si="37">
        <n x="1" s="1"/>
        <n x="2" s="1"/>
        <n x="38" s="1"/>
        <n x="3"/>
        <n x="45"/>
        <n x="33"/>
      </t>
    </mdx>
    <mdx n="0" f="v">
      <t c="6" si="37">
        <n x="1" s="1"/>
        <n x="2" s="1"/>
        <n x="38" s="1"/>
        <n x="3"/>
        <n x="51"/>
        <n x="33"/>
      </t>
    </mdx>
    <mdx n="0" f="v">
      <t c="7" si="37">
        <n x="1" s="1"/>
        <n x="2" s="1"/>
        <n x="38" s="1"/>
        <n x="3"/>
        <n x="6"/>
        <n x="50"/>
        <n x="33"/>
      </t>
    </mdx>
    <mdx n="0" f="v">
      <t c="7" si="37">
        <n x="1" s="1"/>
        <n x="2" s="1"/>
        <n x="38" s="1"/>
        <n x="3"/>
        <n x="6"/>
        <n x="50"/>
        <n x="29"/>
      </t>
    </mdx>
    <mdx n="0" f="v">
      <t c="7" si="37">
        <n x="1" s="1"/>
        <n x="2" s="1"/>
        <n x="38" s="1"/>
        <n x="3"/>
        <n x="6"/>
        <n x="48"/>
        <n x="29"/>
      </t>
    </mdx>
    <mdx n="0" f="v">
      <t c="7" si="37">
        <n x="1" s="1"/>
        <n x="2" s="1"/>
        <n x="38" s="1"/>
        <n x="3"/>
        <n x="6"/>
        <n x="47"/>
        <n x="29"/>
      </t>
    </mdx>
    <mdx n="0" f="v">
      <t c="7" si="37">
        <n x="1" s="1"/>
        <n x="2" s="1"/>
        <n x="38" s="1"/>
        <n x="3"/>
        <n x="6"/>
        <n x="45"/>
        <n x="33"/>
      </t>
    </mdx>
    <mdx n="0" f="v">
      <t c="7" si="37">
        <n x="1" s="1"/>
        <n x="2" s="1"/>
        <n x="38" s="1"/>
        <n x="3"/>
        <n x="6"/>
        <n x="45"/>
        <n x="29"/>
      </t>
    </mdx>
    <mdx n="0" f="v">
      <t c="7" si="37">
        <n x="1" s="1"/>
        <n x="2" s="1"/>
        <n x="38" s="1"/>
        <n x="3"/>
        <n x="6"/>
        <n x="47"/>
        <n x="33"/>
      </t>
    </mdx>
    <mdx n="0" f="v">
      <t c="7" si="37">
        <n x="1" s="1"/>
        <n x="2" s="1"/>
        <n x="38" s="1"/>
        <n x="3"/>
        <n x="6"/>
        <n x="46"/>
        <n x="29"/>
      </t>
    </mdx>
    <mdx n="0" f="v">
      <t c="7" si="37">
        <n x="1" s="1"/>
        <n x="2" s="1"/>
        <n x="38" s="1"/>
        <n x="3"/>
        <n x="6"/>
        <n x="44"/>
        <n x="33"/>
      </t>
    </mdx>
    <mdx n="0" f="v">
      <t c="7" si="37">
        <n x="1" s="1"/>
        <n x="2" s="1"/>
        <n x="38" s="1"/>
        <n x="3"/>
        <n x="6"/>
        <n x="44"/>
        <n x="29"/>
      </t>
    </mdx>
    <mdx n="0" f="v">
      <t c="7" si="37">
        <n x="1" s="1"/>
        <n x="2" s="1"/>
        <n x="38" s="1"/>
        <n x="3"/>
        <n x="36"/>
        <n x="51"/>
        <n x="29"/>
      </t>
    </mdx>
    <mdx n="0" f="v">
      <t c="7" si="37">
        <n x="1" s="1"/>
        <n x="2" s="1"/>
        <n x="38" s="1"/>
        <n x="3"/>
        <n x="36"/>
        <n x="48"/>
        <n x="29"/>
      </t>
    </mdx>
    <mdx n="0" f="v">
      <t c="7" si="37">
        <n x="1" s="1"/>
        <n x="2" s="1"/>
        <n x="38" s="1"/>
        <n x="3"/>
        <n x="36"/>
        <n x="50"/>
        <n x="33"/>
      </t>
    </mdx>
    <mdx n="0" f="v">
      <t c="7" si="37">
        <n x="1" s="1"/>
        <n x="2" s="1"/>
        <n x="38" s="1"/>
        <n x="3"/>
        <n x="36"/>
        <n x="50"/>
        <n x="29"/>
      </t>
    </mdx>
    <mdx n="0" f="v">
      <t c="7" si="37">
        <n x="1" s="1"/>
        <n x="2" s="1"/>
        <n x="38" s="1"/>
        <n x="3"/>
        <n x="36"/>
        <n x="48"/>
        <n x="33"/>
      </t>
    </mdx>
    <mdx n="0" f="v">
      <t c="7" si="37">
        <n x="1" s="1"/>
        <n x="2" s="1"/>
        <n x="38" s="1"/>
        <n x="3"/>
        <n x="36"/>
        <n x="45"/>
        <n x="33"/>
      </t>
    </mdx>
    <mdx n="0" f="v">
      <t c="7" si="37">
        <n x="1" s="1"/>
        <n x="2" s="1"/>
        <n x="38" s="1"/>
        <n x="3"/>
        <n x="36"/>
        <n x="45"/>
        <n x="29"/>
      </t>
    </mdx>
    <mdx n="0" f="v">
      <t c="7" si="37">
        <n x="1" s="1"/>
        <n x="2" s="1"/>
        <n x="38" s="1"/>
        <n x="3"/>
        <n x="8"/>
        <n x="50"/>
        <n x="33"/>
      </t>
    </mdx>
    <mdx n="0" f="v">
      <t c="7" si="37">
        <n x="1" s="1"/>
        <n x="2" s="1"/>
        <n x="38" s="1"/>
        <n x="3"/>
        <n x="8"/>
        <n x="50"/>
        <n x="29"/>
      </t>
    </mdx>
    <mdx n="0" f="v">
      <t c="7" si="37">
        <n x="1" s="1"/>
        <n x="2" s="1"/>
        <n x="38" s="1"/>
        <n x="3"/>
        <n x="8"/>
        <n x="47"/>
        <n x="29"/>
      </t>
    </mdx>
    <mdx n="0" f="v">
      <t c="7" si="37">
        <n x="1" s="1"/>
        <n x="2" s="1"/>
        <n x="38" s="1"/>
        <n x="3"/>
        <n x="8"/>
        <n x="45"/>
        <n x="33"/>
      </t>
    </mdx>
    <mdx n="0" f="v">
      <t c="7" si="37">
        <n x="1" s="1"/>
        <n x="2" s="1"/>
        <n x="38" s="1"/>
        <n x="3"/>
        <n x="8"/>
        <n x="47"/>
        <n x="33"/>
      </t>
    </mdx>
    <mdx n="0" f="v">
      <t c="7" si="37">
        <n x="1" s="1"/>
        <n x="2" s="1"/>
        <n x="38" s="1"/>
        <n x="3"/>
        <n x="8"/>
        <n x="45"/>
        <n x="29"/>
      </t>
    </mdx>
    <mdx n="0" f="v">
      <t c="7" si="37">
        <n x="1" s="1"/>
        <n x="2" s="1"/>
        <n x="38" s="1"/>
        <n x="3"/>
        <n x="8"/>
        <n x="44"/>
        <n x="33"/>
      </t>
    </mdx>
    <mdx n="0" f="v">
      <t c="7" si="37">
        <n x="1" s="1"/>
        <n x="2" s="1"/>
        <n x="38" s="1"/>
        <n x="3"/>
        <n x="8"/>
        <n x="51"/>
        <n x="33"/>
      </t>
    </mdx>
    <mdx n="0" f="v">
      <t c="7" si="37">
        <n x="1" s="1"/>
        <n x="2" s="1"/>
        <n x="38" s="1"/>
        <n x="3"/>
        <n x="8"/>
        <n x="44"/>
        <n x="29"/>
      </t>
    </mdx>
    <mdx n="0" f="v">
      <t c="7" si="37">
        <n x="1" s="1"/>
        <n x="2" s="1"/>
        <n x="38" s="1"/>
        <n x="3"/>
        <n x="8"/>
        <n x="48"/>
        <n x="33"/>
      </t>
    </mdx>
    <mdx n="0" f="v">
      <t c="7" si="37">
        <n x="1" s="1"/>
        <n x="2" s="1"/>
        <n x="38" s="1"/>
        <n x="3"/>
        <n x="8"/>
        <n x="48"/>
        <n x="29"/>
      </t>
    </mdx>
    <mdx n="0" f="v">
      <t c="7" si="37">
        <n x="1" s="1"/>
        <n x="2" s="1"/>
        <n x="38" s="1"/>
        <n x="3"/>
        <n x="20"/>
        <n x="47"/>
        <n x="33"/>
      </t>
    </mdx>
    <mdx n="0" f="v">
      <t c="7" si="37">
        <n x="1" s="1"/>
        <n x="2" s="1"/>
        <n x="38" s="1"/>
        <n x="3"/>
        <n x="20"/>
        <n x="46"/>
        <n x="33"/>
      </t>
    </mdx>
    <mdx n="0" f="v">
      <t c="7" si="37">
        <n x="1" s="1"/>
        <n x="2" s="1"/>
        <n x="38" s="1"/>
        <n x="3"/>
        <n x="20"/>
        <n x="45"/>
        <n x="33"/>
      </t>
    </mdx>
    <mdx n="0" f="v">
      <t c="7" si="37">
        <n x="1" s="1"/>
        <n x="2" s="1"/>
        <n x="38" s="1"/>
        <n x="3"/>
        <n x="20"/>
        <n x="45"/>
        <n x="29"/>
      </t>
    </mdx>
    <mdx n="0" f="v">
      <t c="7" si="37">
        <n x="1" s="1"/>
        <n x="2" s="1"/>
        <n x="38" s="1"/>
        <n x="3"/>
        <n x="20"/>
        <n x="46"/>
        <n x="29"/>
      </t>
    </mdx>
    <mdx n="0" f="v">
      <t c="7" si="37">
        <n x="1" s="1"/>
        <n x="2" s="1"/>
        <n x="38" s="1"/>
        <n x="3"/>
        <n x="20"/>
        <n x="51"/>
        <n x="33"/>
      </t>
    </mdx>
    <mdx n="0" f="v">
      <t c="7" si="37">
        <n x="1" s="1"/>
        <n x="2" s="1"/>
        <n x="38" s="1"/>
        <n x="3"/>
        <n x="20"/>
        <n x="51"/>
        <n x="29"/>
      </t>
    </mdx>
    <mdx n="0" f="v">
      <t c="7" si="37">
        <n x="1" s="1"/>
        <n x="2" s="1"/>
        <n x="38" s="1"/>
        <n x="3"/>
        <n x="20"/>
        <n x="48"/>
        <n x="33"/>
      </t>
    </mdx>
    <mdx n="0" f="v">
      <t c="7" si="37">
        <n x="1" s="1"/>
        <n x="2" s="1"/>
        <n x="38" s="1"/>
        <n x="3"/>
        <n x="20"/>
        <n x="44"/>
        <n x="33"/>
      </t>
    </mdx>
    <mdx n="0" f="v">
      <t c="7" si="37">
        <n x="1" s="1"/>
        <n x="2" s="1"/>
        <n x="38" s="1"/>
        <n x="3"/>
        <n x="20"/>
        <n x="48"/>
        <n x="29"/>
      </t>
    </mdx>
    <mdx n="0" f="v">
      <t c="7" si="37">
        <n x="1" s="1"/>
        <n x="2" s="1"/>
        <n x="38" s="1"/>
        <n x="3"/>
        <n x="5"/>
        <n x="48"/>
        <n x="29"/>
      </t>
    </mdx>
    <mdx n="0" f="v">
      <t c="7" si="37">
        <n x="1" s="1"/>
        <n x="2" s="1"/>
        <n x="38" s="1"/>
        <n x="3"/>
        <n x="5"/>
        <n x="46"/>
        <n x="33"/>
      </t>
    </mdx>
    <mdx n="0" f="v">
      <t c="7" si="37">
        <n x="1" s="1"/>
        <n x="2" s="1"/>
        <n x="38" s="1"/>
        <n x="3"/>
        <n x="5"/>
        <n x="48"/>
        <n x="33"/>
      </t>
    </mdx>
    <mdx n="0" f="v">
      <t c="7" si="37">
        <n x="1" s="1"/>
        <n x="2" s="1"/>
        <n x="38" s="1"/>
        <n x="3"/>
        <n x="5"/>
        <n x="50"/>
        <n x="33"/>
      </t>
    </mdx>
    <mdx n="0" f="v">
      <t c="7" si="37">
        <n x="1" s="1"/>
        <n x="2" s="1"/>
        <n x="38" s="1"/>
        <n x="3"/>
        <n x="5"/>
        <n x="46"/>
        <n x="29"/>
      </t>
    </mdx>
    <mdx n="0" f="v">
      <t c="7" si="37">
        <n x="1" s="1"/>
        <n x="2" s="1"/>
        <n x="38" s="1"/>
        <n x="3"/>
        <n x="5"/>
        <n x="50"/>
        <n x="29"/>
      </t>
    </mdx>
    <mdx n="0" f="v">
      <t c="7" si="37">
        <n x="1" s="1"/>
        <n x="2" s="1"/>
        <n x="38" s="1"/>
        <n x="3"/>
        <n x="5"/>
        <n x="47"/>
        <n x="29"/>
      </t>
    </mdx>
    <mdx n="0" f="v">
      <t c="7" si="37">
        <n x="1" s="1"/>
        <n x="2" s="1"/>
        <n x="38" s="1"/>
        <n x="3"/>
        <n x="5"/>
        <n x="45"/>
        <n x="33"/>
      </t>
    </mdx>
    <mdx n="0" f="v">
      <t c="7" si="37">
        <n x="1" s="1"/>
        <n x="2" s="1"/>
        <n x="38" s="1"/>
        <n x="3"/>
        <n x="5"/>
        <n x="45"/>
        <n x="29"/>
      </t>
    </mdx>
    <mdx n="0" f="v">
      <t c="7" si="37">
        <n x="1" s="1"/>
        <n x="2" s="1"/>
        <n x="38" s="1"/>
        <n x="3"/>
        <n x="5"/>
        <n x="44"/>
        <n x="33"/>
      </t>
    </mdx>
    <mdx n="0" f="v">
      <t c="7" si="37">
        <n x="1" s="1"/>
        <n x="2" s="1"/>
        <n x="38" s="1"/>
        <n x="3"/>
        <n x="5"/>
        <n x="44"/>
        <n x="29"/>
      </t>
    </mdx>
    <mdx n="0" f="v">
      <t c="7" si="37">
        <n x="1" s="1"/>
        <n x="2" s="1"/>
        <n x="38" s="1"/>
        <n x="3"/>
        <n x="12"/>
        <n x="50"/>
        <n x="29"/>
      </t>
    </mdx>
    <mdx n="0" f="v">
      <t c="7" si="37">
        <n x="1" s="1"/>
        <n x="2" s="1"/>
        <n x="38" s="1"/>
        <n x="3"/>
        <n x="12"/>
        <n x="45"/>
        <n x="33"/>
      </t>
    </mdx>
    <mdx n="0" f="v">
      <t c="7" si="37">
        <n x="1" s="1"/>
        <n x="2" s="1"/>
        <n x="38" s="1"/>
        <n x="3"/>
        <n x="12"/>
        <n x="46"/>
        <n x="29"/>
      </t>
    </mdx>
    <mdx n="0" f="v">
      <t c="7" si="37">
        <n x="1" s="1"/>
        <n x="2" s="1"/>
        <n x="38" s="1"/>
        <n x="3"/>
        <n x="12"/>
        <n x="51"/>
        <n x="29"/>
      </t>
    </mdx>
    <mdx n="0" f="v">
      <t c="7" si="37">
        <n x="1" s="1"/>
        <n x="2" s="1"/>
        <n x="38" s="1"/>
        <n x="3"/>
        <n x="12"/>
        <n x="45"/>
        <n x="29"/>
      </t>
    </mdx>
    <mdx n="0" f="v">
      <t c="7" si="37">
        <n x="1" s="1"/>
        <n x="2" s="1"/>
        <n x="38" s="1"/>
        <n x="3"/>
        <n x="12"/>
        <n x="50"/>
        <n x="33"/>
      </t>
    </mdx>
    <mdx n="0" f="v">
      <t c="7" si="37">
        <n x="1" s="1"/>
        <n x="2" s="1"/>
        <n x="38" s="1"/>
        <n x="3"/>
        <n x="12"/>
        <n x="44"/>
        <n x="33"/>
      </t>
    </mdx>
    <mdx n="0" f="v">
      <t c="7" si="37">
        <n x="1" s="1"/>
        <n x="2" s="1"/>
        <n x="38" s="1"/>
        <n x="3"/>
        <n x="12"/>
        <n x="44"/>
        <n x="29"/>
      </t>
    </mdx>
    <mdx n="0" f="v">
      <t c="7" si="37">
        <n x="1" s="1"/>
        <n x="2" s="1"/>
        <n x="38" s="1"/>
        <n x="3"/>
        <n x="12"/>
        <n x="48"/>
        <n x="33"/>
      </t>
    </mdx>
    <mdx n="0" f="v">
      <t c="7" si="37">
        <n x="1" s="1"/>
        <n x="2" s="1"/>
        <n x="38" s="1"/>
        <n x="3"/>
        <n x="12"/>
        <n x="48"/>
        <n x="29"/>
      </t>
    </mdx>
    <mdx n="0" f="v">
      <t c="7" si="37">
        <n x="1" s="1"/>
        <n x="2" s="1"/>
        <n x="38" s="1"/>
        <n x="3"/>
        <n x="12"/>
        <n x="47"/>
        <n x="33"/>
      </t>
    </mdx>
    <mdx n="0" f="v">
      <t c="7" si="37">
        <n x="1" s="1"/>
        <n x="2" s="1"/>
        <n x="38" s="1"/>
        <n x="3"/>
        <n x="12"/>
        <n x="47"/>
        <n x="29"/>
      </t>
    </mdx>
    <mdx n="0" f="v">
      <t c="7" si="37">
        <n x="1" s="1"/>
        <n x="2" s="1"/>
        <n x="38" s="1"/>
        <n x="3"/>
        <n x="21"/>
        <n x="46"/>
        <n x="29"/>
      </t>
    </mdx>
    <mdx n="0" f="v">
      <t c="7" si="37">
        <n x="1" s="1"/>
        <n x="2" s="1"/>
        <n x="38" s="1"/>
        <n x="3"/>
        <n x="21"/>
        <n x="48"/>
        <n x="29"/>
      </t>
    </mdx>
    <mdx n="0" f="v">
      <t c="7" si="37">
        <n x="1" s="1"/>
        <n x="2" s="1"/>
        <n x="38" s="1"/>
        <n x="3"/>
        <n x="21"/>
        <n x="47"/>
        <n x="33"/>
      </t>
    </mdx>
    <mdx n="0" f="v">
      <t c="7" si="37">
        <n x="1" s="1"/>
        <n x="2" s="1"/>
        <n x="38" s="1"/>
        <n x="3"/>
        <n x="21"/>
        <n x="51"/>
        <n x="33"/>
      </t>
    </mdx>
    <mdx n="0" f="v">
      <t c="7" si="37">
        <n x="1" s="1"/>
        <n x="2" s="1"/>
        <n x="38" s="1"/>
        <n x="3"/>
        <n x="21"/>
        <n x="50"/>
        <n x="33"/>
      </t>
    </mdx>
    <mdx n="0" f="v">
      <t c="7" si="37">
        <n x="1" s="1"/>
        <n x="2" s="1"/>
        <n x="38" s="1"/>
        <n x="3"/>
        <n x="21"/>
        <n x="44"/>
        <n x="33"/>
      </t>
    </mdx>
    <mdx n="0" f="v">
      <t c="7" si="37">
        <n x="1" s="1"/>
        <n x="2" s="1"/>
        <n x="38" s="1"/>
        <n x="3"/>
        <n x="21"/>
        <n x="51"/>
        <n x="29"/>
      </t>
    </mdx>
    <mdx n="0" f="v">
      <t c="7" si="37">
        <n x="1" s="1"/>
        <n x="2" s="1"/>
        <n x="38" s="1"/>
        <n x="3"/>
        <n x="21"/>
        <n x="46"/>
        <n x="33"/>
      </t>
    </mdx>
    <mdx n="0" f="v">
      <t c="7" si="37">
        <n x="1" s="1"/>
        <n x="2" s="1"/>
        <n x="38" s="1"/>
        <n x="3"/>
        <n x="21"/>
        <n x="50"/>
        <n x="29"/>
      </t>
    </mdx>
    <mdx n="0" f="v">
      <t c="7" si="37">
        <n x="1" s="1"/>
        <n x="2" s="1"/>
        <n x="38" s="1"/>
        <n x="3"/>
        <n x="21"/>
        <n x="44"/>
        <n x="29"/>
      </t>
    </mdx>
    <mdx n="0" f="v">
      <t c="7" si="37">
        <n x="1" s="1"/>
        <n x="2" s="1"/>
        <n x="38" s="1"/>
        <n x="3"/>
        <n x="21"/>
        <n x="47"/>
        <n x="29"/>
      </t>
    </mdx>
    <mdx n="0" f="v">
      <t c="7" si="37">
        <n x="1" s="1"/>
        <n x="2" s="1"/>
        <n x="38" s="1"/>
        <n x="3"/>
        <n x="32"/>
        <n x="46"/>
        <n x="29"/>
      </t>
    </mdx>
    <mdx n="0" f="v">
      <t c="7" si="37">
        <n x="1" s="1"/>
        <n x="2" s="1"/>
        <n x="38" s="1"/>
        <n x="3"/>
        <n x="32"/>
        <n x="45"/>
        <n x="29"/>
      </t>
    </mdx>
    <mdx n="0" f="v">
      <t c="7" si="37">
        <n x="1" s="1"/>
        <n x="2" s="1"/>
        <n x="38" s="1"/>
        <n x="3"/>
        <n x="32"/>
        <n x="47"/>
        <n x="29"/>
      </t>
    </mdx>
    <mdx n="0" f="v">
      <t c="7" si="37">
        <n x="1" s="1"/>
        <n x="2" s="1"/>
        <n x="38" s="1"/>
        <n x="3"/>
        <n x="32"/>
        <n x="50"/>
        <n x="33"/>
      </t>
    </mdx>
    <mdx n="0" f="v">
      <t c="7" si="37">
        <n x="1" s="1"/>
        <n x="2" s="1"/>
        <n x="38" s="1"/>
        <n x="3"/>
        <n x="32"/>
        <n x="51"/>
        <n x="29"/>
      </t>
    </mdx>
    <mdx n="0" f="v">
      <t c="7" si="37">
        <n x="1" s="1"/>
        <n x="2" s="1"/>
        <n x="38" s="1"/>
        <n x="3"/>
        <n x="32"/>
        <n x="47"/>
        <n x="33"/>
      </t>
    </mdx>
    <mdx n="0" f="v">
      <t c="7" si="37">
        <n x="1" s="1"/>
        <n x="2" s="1"/>
        <n x="38" s="1"/>
        <n x="3"/>
        <n x="32"/>
        <n x="51"/>
        <n x="33"/>
      </t>
    </mdx>
    <mdx n="0" f="v">
      <t c="7" si="37">
        <n x="1" s="1"/>
        <n x="2" s="1"/>
        <n x="38" s="1"/>
        <n x="3"/>
        <n x="32"/>
        <n x="50"/>
        <n x="29"/>
      </t>
    </mdx>
    <mdx n="0" f="v">
      <t c="7" si="37">
        <n x="1" s="1"/>
        <n x="2" s="1"/>
        <n x="38" s="1"/>
        <n x="3"/>
        <n x="32"/>
        <n x="44"/>
        <n x="29"/>
      </t>
    </mdx>
    <mdx n="0" f="v">
      <t c="7" si="37">
        <n x="1" s="1"/>
        <n x="2" s="1"/>
        <n x="38" s="1"/>
        <n x="16"/>
        <n x="19"/>
        <n x="46"/>
        <n x="29"/>
      </t>
    </mdx>
    <mdx n="0" f="v">
      <t c="6" si="37">
        <n x="1" s="1"/>
        <n x="2" s="1"/>
        <n x="38" s="1"/>
        <n x="16"/>
        <n x="46"/>
        <n x="29"/>
      </t>
    </mdx>
    <mdx n="0" f="v">
      <t c="7" si="37">
        <n x="1" s="1"/>
        <n x="2" s="1"/>
        <n x="38" s="1"/>
        <n x="16"/>
        <n x="17"/>
        <n x="46"/>
        <n x="29"/>
      </t>
    </mdx>
    <mdx n="0" f="v">
      <t c="7" si="37">
        <n x="1" s="1"/>
        <n x="2" s="1"/>
        <n x="38" s="1"/>
        <n x="3"/>
        <n x="18"/>
        <n x="46"/>
        <n x="29"/>
      </t>
    </mdx>
    <mdx n="0" f="v">
      <t c="7" si="37">
        <n x="1" s="1"/>
        <n x="2" s="1"/>
        <n x="38" s="1"/>
        <n x="3"/>
        <n x="9"/>
        <n x="46"/>
        <n x="29"/>
      </t>
    </mdx>
    <mdx n="0" f="v">
      <t c="7" si="37">
        <n x="1" s="1"/>
        <n x="2" s="1"/>
        <n x="38" s="1"/>
        <n x="3"/>
        <n x="24"/>
        <n x="46"/>
        <n x="29"/>
      </t>
    </mdx>
    <mdx n="0" f="v">
      <t c="7" si="37">
        <n x="1" s="1"/>
        <n x="2" s="1"/>
        <n x="38" s="1"/>
        <n x="22"/>
        <n x="23"/>
        <n x="46"/>
        <n x="29"/>
      </t>
    </mdx>
    <mdx n="0" f="v">
      <t c="7" si="37">
        <n x="1" s="1"/>
        <n x="2" s="1"/>
        <n x="38" s="1"/>
        <n x="3"/>
        <n x="34"/>
        <n x="47"/>
        <n x="29"/>
      </t>
    </mdx>
    <mdx n="0" f="v">
      <t c="7" si="37">
        <n x="1" s="1"/>
        <n x="2" s="1"/>
        <n x="38" s="1"/>
        <n x="3"/>
        <n x="34"/>
        <n x="45"/>
        <n x="33"/>
      </t>
    </mdx>
    <mdx n="0" f="v">
      <t c="7" si="37">
        <n x="1" s="1"/>
        <n x="2" s="1"/>
        <n x="38" s="1"/>
        <n x="3"/>
        <n x="34"/>
        <n x="46"/>
        <n x="29"/>
      </t>
    </mdx>
    <mdx n="0" f="v">
      <t c="7" si="37">
        <n x="1" s="1"/>
        <n x="2" s="1"/>
        <n x="38" s="1"/>
        <n x="3"/>
        <n x="34"/>
        <n x="48"/>
        <n x="29"/>
      </t>
    </mdx>
    <mdx n="0" f="v">
      <t c="7" si="37">
        <n x="1" s="1"/>
        <n x="2" s="1"/>
        <n x="38" s="1"/>
        <n x="3"/>
        <n x="34"/>
        <n x="44"/>
        <n x="33"/>
      </t>
    </mdx>
    <mdx n="0" f="v">
      <t c="7" si="37">
        <n x="1" s="1"/>
        <n x="2" s="1"/>
        <n x="38" s="1"/>
        <n x="3"/>
        <n x="34"/>
        <n x="51"/>
        <n x="29"/>
      </t>
    </mdx>
    <mdx n="0" f="v">
      <t c="7" si="37">
        <n x="1" s="1"/>
        <n x="2" s="1"/>
        <n x="38" s="1"/>
        <n x="3"/>
        <n x="34"/>
        <n x="48"/>
        <n x="33"/>
      </t>
    </mdx>
    <mdx n="0" f="v">
      <t c="7" si="37">
        <n x="1" s="1"/>
        <n x="2" s="1"/>
        <n x="38" s="1"/>
        <n x="3"/>
        <n x="34"/>
        <n x="46"/>
        <n x="33"/>
      </t>
    </mdx>
    <mdx n="0" f="v">
      <t c="7" si="37">
        <n x="1" s="1"/>
        <n x="2" s="1"/>
        <n x="38" s="1"/>
        <n x="3"/>
        <n x="34"/>
        <n x="44"/>
        <n x="29"/>
      </t>
    </mdx>
    <mdx n="0" f="v">
      <t c="7" si="37">
        <n x="1" s="1"/>
        <n x="2" s="1"/>
        <n x="38" s="1"/>
        <n x="3"/>
        <n x="34"/>
        <n x="51"/>
        <n x="33"/>
      </t>
    </mdx>
    <mdx n="0" f="v">
      <t c="7" si="37">
        <n x="1" s="1"/>
        <n x="2" s="1"/>
        <n x="38" s="1"/>
        <n x="3"/>
        <n x="34"/>
        <n x="45"/>
        <n x="29"/>
      </t>
    </mdx>
    <mdx n="0" f="v">
      <t c="7" si="37">
        <n x="1" s="1"/>
        <n x="2" s="1"/>
        <n x="38" s="1"/>
        <n x="3"/>
        <n x="34"/>
        <n x="50"/>
        <n x="33"/>
      </t>
    </mdx>
    <mdx n="0" f="v">
      <t c="7" si="37">
        <n x="1" s="1"/>
        <n x="2" s="1"/>
        <n x="38" s="1"/>
        <n x="3"/>
        <n x="34"/>
        <n x="50"/>
        <n x="29"/>
      </t>
    </mdx>
    <mdx n="0" f="v">
      <t c="7" si="37">
        <n x="1" s="1"/>
        <n x="2" s="1"/>
        <n x="38" s="1"/>
        <n x="3"/>
        <n x="5"/>
        <n x="51"/>
        <n x="29"/>
      </t>
    </mdx>
    <mdx n="0" f="v">
      <t c="7" si="37">
        <n x="1" s="1"/>
        <n x="2" s="1"/>
        <n x="38" s="1"/>
        <n x="3"/>
        <n x="6"/>
        <n x="51"/>
        <n x="29"/>
      </t>
    </mdx>
    <mdx n="0" f="v">
      <t c="7" si="37">
        <n x="1" s="1"/>
        <n x="2" s="1"/>
        <n x="38" s="1"/>
        <n x="3"/>
        <n x="8"/>
        <n x="51"/>
        <n x="29"/>
      </t>
    </mdx>
    <mdx n="0" f="v">
      <t c="6" si="37">
        <n x="1" s="1"/>
        <n x="2" s="1"/>
        <n x="38" s="1"/>
        <n x="27"/>
        <n x="51"/>
        <n x="29"/>
      </t>
    </mdx>
    <mdx n="0" f="v">
      <t c="6" si="37">
        <n x="1" s="1"/>
        <n x="2" s="1"/>
        <n x="38" s="1"/>
        <n x="16"/>
        <n x="51"/>
        <n x="29"/>
      </t>
    </mdx>
    <mdx n="0" f="v">
      <t c="7" si="37">
        <n x="1" s="1"/>
        <n x="2" s="1"/>
        <n x="38" s="1"/>
        <n x="3"/>
        <n x="24"/>
        <n x="51"/>
        <n x="29"/>
      </t>
    </mdx>
    <mdx n="0" f="v">
      <t c="7" si="37">
        <n x="1" s="1"/>
        <n x="2" s="1"/>
        <n x="38" s="1"/>
        <n x="3"/>
        <n x="14"/>
        <n x="51"/>
        <n x="29"/>
      </t>
    </mdx>
    <mdx n="0" f="v">
      <t c="7" si="37">
        <n x="1" s="1"/>
        <n x="2" s="1"/>
        <n x="38" s="1"/>
        <n x="3"/>
        <n x="9"/>
        <n x="51"/>
        <n x="29"/>
      </t>
    </mdx>
    <mdx n="0" f="v">
      <t c="6" si="37">
        <n x="1" s="1"/>
        <n x="2" s="1"/>
        <n x="38" s="1"/>
        <n x="35"/>
        <n x="51"/>
        <n x="29"/>
      </t>
    </mdx>
    <mdx n="0" f="v">
      <t c="7" si="37">
        <n x="1" s="1"/>
        <n x="2" s="1"/>
        <n x="38" s="1"/>
        <n x="16"/>
        <n x="19"/>
        <n x="51"/>
        <n x="29"/>
      </t>
    </mdx>
    <mdx n="0" f="v">
      <t c="7" si="37">
        <n x="1" s="1"/>
        <n x="2" s="1"/>
        <n x="38" s="1"/>
        <n x="16"/>
        <n x="17"/>
        <n x="51"/>
        <n x="29"/>
      </t>
    </mdx>
    <mdx n="0" f="v">
      <t c="7" si="37">
        <n x="1" s="1"/>
        <n x="2" s="1"/>
        <n x="38" s="1"/>
        <n x="3"/>
        <n x="18"/>
        <n x="51"/>
        <n x="29"/>
      </t>
    </mdx>
    <mdx n="0" f="v">
      <t c="7" si="37">
        <n x="1" s="1"/>
        <n x="2" s="1"/>
        <n x="38" s="1"/>
        <n x="3"/>
        <n x="5"/>
        <n x="51"/>
        <n x="33"/>
      </t>
    </mdx>
    <mdx n="0" f="v">
      <t c="7" si="37">
        <n x="1" s="1"/>
        <n x="2" s="1"/>
        <n x="38" s="1"/>
        <n x="3"/>
        <n x="6"/>
        <n x="51"/>
        <n x="33"/>
      </t>
    </mdx>
    <mdx n="0" f="v">
      <t c="7" si="37">
        <n x="1" s="1"/>
        <n x="2" s="1"/>
        <n x="38" s="1"/>
        <n x="3"/>
        <n x="9"/>
        <n x="51"/>
        <n x="33"/>
      </t>
    </mdx>
    <mdx n="0" f="v">
      <t c="7" si="37">
        <n x="1" s="1"/>
        <n x="2" s="1"/>
        <n x="38" s="1"/>
        <n x="3"/>
        <n x="36"/>
        <n x="51"/>
        <n x="33"/>
      </t>
    </mdx>
    <mdx n="0" f="v">
      <t c="6" si="37">
        <n x="1" s="1"/>
        <n x="2" s="1"/>
        <n x="38" s="1"/>
        <n x="16"/>
        <n x="51"/>
        <n x="33"/>
      </t>
    </mdx>
    <mdx n="0" f="v">
      <t c="7" si="37">
        <n x="1" s="1"/>
        <n x="2" s="1"/>
        <n x="38" s="1"/>
        <n x="16"/>
        <n x="19"/>
        <n x="51"/>
        <n x="33"/>
      </t>
    </mdx>
    <mdx n="0" f="v">
      <t c="7" si="37">
        <n x="1" s="1"/>
        <n x="2" s="1"/>
        <n x="38" s="1"/>
        <n x="3"/>
        <n x="14"/>
        <n x="51"/>
        <n x="33"/>
      </t>
    </mdx>
    <mdx n="0" f="v">
      <t c="7" si="37">
        <n x="1" s="1"/>
        <n x="2" s="1"/>
        <n x="38" s="1"/>
        <n x="16"/>
        <n x="17"/>
        <n x="51"/>
        <n x="33"/>
      </t>
    </mdx>
    <mdx n="0" f="v">
      <t c="7" si="37">
        <n x="1" s="1"/>
        <n x="2" s="1"/>
        <n x="38" s="1"/>
        <n x="3"/>
        <n x="24"/>
        <n x="51"/>
        <n x="33"/>
      </t>
    </mdx>
    <mdx n="0" f="v">
      <t c="7" si="37">
        <n x="1" s="1"/>
        <n x="2" s="1"/>
        <n x="38" s="1"/>
        <n x="22"/>
        <n x="23"/>
        <n x="51"/>
        <n x="33"/>
      </t>
    </mdx>
  </mdxMetadata>
  <valueMetadata count="954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  <bk>
      <rc t="1" v="447"/>
    </bk>
    <bk>
      <rc t="1" v="448"/>
    </bk>
    <bk>
      <rc t="1" v="449"/>
    </bk>
    <bk>
      <rc t="1" v="450"/>
    </bk>
    <bk>
      <rc t="1" v="451"/>
    </bk>
    <bk>
      <rc t="1" v="452"/>
    </bk>
    <bk>
      <rc t="1" v="453"/>
    </bk>
    <bk>
      <rc t="1" v="454"/>
    </bk>
    <bk>
      <rc t="1" v="455"/>
    </bk>
    <bk>
      <rc t="1" v="456"/>
    </bk>
    <bk>
      <rc t="1" v="457"/>
    </bk>
    <bk>
      <rc t="1" v="458"/>
    </bk>
    <bk>
      <rc t="1" v="459"/>
    </bk>
    <bk>
      <rc t="1" v="460"/>
    </bk>
    <bk>
      <rc t="1" v="461"/>
    </bk>
    <bk>
      <rc t="1" v="462"/>
    </bk>
    <bk>
      <rc t="1" v="463"/>
    </bk>
    <bk>
      <rc t="1" v="464"/>
    </bk>
    <bk>
      <rc t="1" v="465"/>
    </bk>
    <bk>
      <rc t="1" v="466"/>
    </bk>
    <bk>
      <rc t="1" v="467"/>
    </bk>
    <bk>
      <rc t="1" v="468"/>
    </bk>
    <bk>
      <rc t="1" v="469"/>
    </bk>
    <bk>
      <rc t="1" v="470"/>
    </bk>
    <bk>
      <rc t="1" v="471"/>
    </bk>
    <bk>
      <rc t="1" v="472"/>
    </bk>
    <bk>
      <rc t="1" v="473"/>
    </bk>
    <bk>
      <rc t="1" v="474"/>
    </bk>
    <bk>
      <rc t="1" v="475"/>
    </bk>
    <bk>
      <rc t="1" v="476"/>
    </bk>
    <bk>
      <rc t="1" v="477"/>
    </bk>
    <bk>
      <rc t="1" v="478"/>
    </bk>
    <bk>
      <rc t="1" v="479"/>
    </bk>
    <bk>
      <rc t="1" v="480"/>
    </bk>
    <bk>
      <rc t="1" v="481"/>
    </bk>
    <bk>
      <rc t="1" v="482"/>
    </bk>
    <bk>
      <rc t="1" v="483"/>
    </bk>
    <bk>
      <rc t="1" v="484"/>
    </bk>
    <bk>
      <rc t="1" v="485"/>
    </bk>
    <bk>
      <rc t="1" v="486"/>
    </bk>
    <bk>
      <rc t="1" v="487"/>
    </bk>
    <bk>
      <rc t="1" v="488"/>
    </bk>
    <bk>
      <rc t="1" v="489"/>
    </bk>
    <bk>
      <rc t="1" v="490"/>
    </bk>
    <bk>
      <rc t="1" v="491"/>
    </bk>
    <bk>
      <rc t="1" v="492"/>
    </bk>
    <bk>
      <rc t="1" v="493"/>
    </bk>
    <bk>
      <rc t="1" v="494"/>
    </bk>
    <bk>
      <rc t="1" v="495"/>
    </bk>
    <bk>
      <rc t="1" v="496"/>
    </bk>
    <bk>
      <rc t="1" v="497"/>
    </bk>
    <bk>
      <rc t="1" v="498"/>
    </bk>
    <bk>
      <rc t="1" v="499"/>
    </bk>
    <bk>
      <rc t="1" v="500"/>
    </bk>
    <bk>
      <rc t="1" v="501"/>
    </bk>
    <bk>
      <rc t="1" v="502"/>
    </bk>
    <bk>
      <rc t="1" v="503"/>
    </bk>
    <bk>
      <rc t="1" v="504"/>
    </bk>
    <bk>
      <rc t="1" v="505"/>
    </bk>
    <bk>
      <rc t="1" v="506"/>
    </bk>
    <bk>
      <rc t="1" v="507"/>
    </bk>
    <bk>
      <rc t="1" v="508"/>
    </bk>
    <bk>
      <rc t="1" v="509"/>
    </bk>
    <bk>
      <rc t="1" v="510"/>
    </bk>
    <bk>
      <rc t="1" v="511"/>
    </bk>
    <bk>
      <rc t="1" v="512"/>
    </bk>
    <bk>
      <rc t="1" v="513"/>
    </bk>
    <bk>
      <rc t="1" v="514"/>
    </bk>
    <bk>
      <rc t="1" v="515"/>
    </bk>
    <bk>
      <rc t="1" v="516"/>
    </bk>
    <bk>
      <rc t="1" v="517"/>
    </bk>
    <bk>
      <rc t="1" v="518"/>
    </bk>
    <bk>
      <rc t="1" v="519"/>
    </bk>
    <bk>
      <rc t="1" v="520"/>
    </bk>
    <bk>
      <rc t="1" v="521"/>
    </bk>
    <bk>
      <rc t="1" v="522"/>
    </bk>
    <bk>
      <rc t="1" v="523"/>
    </bk>
    <bk>
      <rc t="1" v="524"/>
    </bk>
    <bk>
      <rc t="1" v="525"/>
    </bk>
    <bk>
      <rc t="1" v="526"/>
    </bk>
    <bk>
      <rc t="1" v="527"/>
    </bk>
    <bk>
      <rc t="1" v="528"/>
    </bk>
    <bk>
      <rc t="1" v="529"/>
    </bk>
    <bk>
      <rc t="1" v="530"/>
    </bk>
    <bk>
      <rc t="1" v="531"/>
    </bk>
    <bk>
      <rc t="1" v="532"/>
    </bk>
    <bk>
      <rc t="1" v="533"/>
    </bk>
    <bk>
      <rc t="1" v="534"/>
    </bk>
    <bk>
      <rc t="1" v="535"/>
    </bk>
    <bk>
      <rc t="1" v="536"/>
    </bk>
    <bk>
      <rc t="1" v="537"/>
    </bk>
    <bk>
      <rc t="1" v="538"/>
    </bk>
    <bk>
      <rc t="1" v="539"/>
    </bk>
    <bk>
      <rc t="1" v="540"/>
    </bk>
    <bk>
      <rc t="1" v="541"/>
    </bk>
    <bk>
      <rc t="1" v="542"/>
    </bk>
    <bk>
      <rc t="1" v="543"/>
    </bk>
    <bk>
      <rc t="1" v="544"/>
    </bk>
    <bk>
      <rc t="1" v="545"/>
    </bk>
    <bk>
      <rc t="1" v="546"/>
    </bk>
    <bk>
      <rc t="1" v="547"/>
    </bk>
    <bk>
      <rc t="1" v="548"/>
    </bk>
    <bk>
      <rc t="1" v="549"/>
    </bk>
    <bk>
      <rc t="1" v="550"/>
    </bk>
    <bk>
      <rc t="1" v="551"/>
    </bk>
    <bk>
      <rc t="1" v="552"/>
    </bk>
    <bk>
      <rc t="1" v="553"/>
    </bk>
    <bk>
      <rc t="1" v="554"/>
    </bk>
    <bk>
      <rc t="1" v="555"/>
    </bk>
    <bk>
      <rc t="1" v="556"/>
    </bk>
    <bk>
      <rc t="1" v="557"/>
    </bk>
    <bk>
      <rc t="1" v="558"/>
    </bk>
    <bk>
      <rc t="1" v="559"/>
    </bk>
    <bk>
      <rc t="1" v="560"/>
    </bk>
    <bk>
      <rc t="1" v="561"/>
    </bk>
    <bk>
      <rc t="1" v="562"/>
    </bk>
    <bk>
      <rc t="1" v="563"/>
    </bk>
    <bk>
      <rc t="1" v="564"/>
    </bk>
    <bk>
      <rc t="1" v="565"/>
    </bk>
    <bk>
      <rc t="1" v="566"/>
    </bk>
    <bk>
      <rc t="1" v="567"/>
    </bk>
    <bk>
      <rc t="1" v="568"/>
    </bk>
    <bk>
      <rc t="1" v="569"/>
    </bk>
    <bk>
      <rc t="1" v="570"/>
    </bk>
    <bk>
      <rc t="1" v="571"/>
    </bk>
    <bk>
      <rc t="1" v="572"/>
    </bk>
    <bk>
      <rc t="1" v="573"/>
    </bk>
    <bk>
      <rc t="1" v="574"/>
    </bk>
    <bk>
      <rc t="1" v="575"/>
    </bk>
    <bk>
      <rc t="1" v="576"/>
    </bk>
    <bk>
      <rc t="1" v="577"/>
    </bk>
    <bk>
      <rc t="1" v="578"/>
    </bk>
    <bk>
      <rc t="1" v="579"/>
    </bk>
    <bk>
      <rc t="1" v="580"/>
    </bk>
    <bk>
      <rc t="1" v="581"/>
    </bk>
    <bk>
      <rc t="1" v="582"/>
    </bk>
    <bk>
      <rc t="1" v="583"/>
    </bk>
    <bk>
      <rc t="1" v="584"/>
    </bk>
    <bk>
      <rc t="1" v="585"/>
    </bk>
    <bk>
      <rc t="1" v="586"/>
    </bk>
    <bk>
      <rc t="1" v="587"/>
    </bk>
    <bk>
      <rc t="1" v="588"/>
    </bk>
    <bk>
      <rc t="1" v="589"/>
    </bk>
    <bk>
      <rc t="1" v="590"/>
    </bk>
    <bk>
      <rc t="1" v="591"/>
    </bk>
    <bk>
      <rc t="1" v="592"/>
    </bk>
    <bk>
      <rc t="1" v="593"/>
    </bk>
    <bk>
      <rc t="1" v="594"/>
    </bk>
    <bk>
      <rc t="1" v="595"/>
    </bk>
    <bk>
      <rc t="1" v="596"/>
    </bk>
    <bk>
      <rc t="1" v="597"/>
    </bk>
    <bk>
      <rc t="1" v="598"/>
    </bk>
    <bk>
      <rc t="1" v="599"/>
    </bk>
    <bk>
      <rc t="1" v="600"/>
    </bk>
    <bk>
      <rc t="1" v="601"/>
    </bk>
    <bk>
      <rc t="1" v="602"/>
    </bk>
    <bk>
      <rc t="1" v="603"/>
    </bk>
    <bk>
      <rc t="1" v="604"/>
    </bk>
    <bk>
      <rc t="1" v="605"/>
    </bk>
    <bk>
      <rc t="1" v="606"/>
    </bk>
    <bk>
      <rc t="1" v="607"/>
    </bk>
    <bk>
      <rc t="1" v="608"/>
    </bk>
    <bk>
      <rc t="1" v="609"/>
    </bk>
    <bk>
      <rc t="1" v="610"/>
    </bk>
    <bk>
      <rc t="1" v="611"/>
    </bk>
    <bk>
      <rc t="1" v="612"/>
    </bk>
    <bk>
      <rc t="1" v="613"/>
    </bk>
    <bk>
      <rc t="1" v="614"/>
    </bk>
    <bk>
      <rc t="1" v="615"/>
    </bk>
    <bk>
      <rc t="1" v="616"/>
    </bk>
    <bk>
      <rc t="1" v="617"/>
    </bk>
    <bk>
      <rc t="1" v="618"/>
    </bk>
    <bk>
      <rc t="1" v="619"/>
    </bk>
    <bk>
      <rc t="1" v="620"/>
    </bk>
    <bk>
      <rc t="1" v="621"/>
    </bk>
    <bk>
      <rc t="1" v="622"/>
    </bk>
    <bk>
      <rc t="1" v="623"/>
    </bk>
    <bk>
      <rc t="1" v="624"/>
    </bk>
    <bk>
      <rc t="1" v="625"/>
    </bk>
    <bk>
      <rc t="1" v="626"/>
    </bk>
    <bk>
      <rc t="1" v="627"/>
    </bk>
    <bk>
      <rc t="1" v="628"/>
    </bk>
    <bk>
      <rc t="1" v="629"/>
    </bk>
    <bk>
      <rc t="1" v="630"/>
    </bk>
    <bk>
      <rc t="1" v="631"/>
    </bk>
    <bk>
      <rc t="1" v="632"/>
    </bk>
    <bk>
      <rc t="1" v="633"/>
    </bk>
    <bk>
      <rc t="1" v="634"/>
    </bk>
    <bk>
      <rc t="1" v="635"/>
    </bk>
    <bk>
      <rc t="1" v="636"/>
    </bk>
    <bk>
      <rc t="1" v="637"/>
    </bk>
    <bk>
      <rc t="1" v="638"/>
    </bk>
    <bk>
      <rc t="1" v="639"/>
    </bk>
    <bk>
      <rc t="1" v="640"/>
    </bk>
    <bk>
      <rc t="1" v="641"/>
    </bk>
    <bk>
      <rc t="1" v="642"/>
    </bk>
    <bk>
      <rc t="1" v="643"/>
    </bk>
    <bk>
      <rc t="1" v="644"/>
    </bk>
    <bk>
      <rc t="1" v="645"/>
    </bk>
    <bk>
      <rc t="1" v="646"/>
    </bk>
    <bk>
      <rc t="1" v="647"/>
    </bk>
    <bk>
      <rc t="1" v="648"/>
    </bk>
    <bk>
      <rc t="1" v="649"/>
    </bk>
    <bk>
      <rc t="1" v="650"/>
    </bk>
    <bk>
      <rc t="1" v="651"/>
    </bk>
    <bk>
      <rc t="1" v="652"/>
    </bk>
    <bk>
      <rc t="1" v="653"/>
    </bk>
    <bk>
      <rc t="1" v="654"/>
    </bk>
    <bk>
      <rc t="1" v="655"/>
    </bk>
    <bk>
      <rc t="1" v="656"/>
    </bk>
    <bk>
      <rc t="1" v="657"/>
    </bk>
    <bk>
      <rc t="1" v="658"/>
    </bk>
    <bk>
      <rc t="1" v="659"/>
    </bk>
    <bk>
      <rc t="1" v="660"/>
    </bk>
    <bk>
      <rc t="1" v="661"/>
    </bk>
    <bk>
      <rc t="1" v="662"/>
    </bk>
    <bk>
      <rc t="1" v="663"/>
    </bk>
    <bk>
      <rc t="1" v="664"/>
    </bk>
    <bk>
      <rc t="1" v="665"/>
    </bk>
    <bk>
      <rc t="1" v="666"/>
    </bk>
    <bk>
      <rc t="1" v="667"/>
    </bk>
    <bk>
      <rc t="1" v="668"/>
    </bk>
    <bk>
      <rc t="1" v="669"/>
    </bk>
    <bk>
      <rc t="1" v="670"/>
    </bk>
    <bk>
      <rc t="1" v="671"/>
    </bk>
    <bk>
      <rc t="1" v="672"/>
    </bk>
    <bk>
      <rc t="1" v="673"/>
    </bk>
    <bk>
      <rc t="1" v="674"/>
    </bk>
    <bk>
      <rc t="1" v="675"/>
    </bk>
    <bk>
      <rc t="1" v="676"/>
    </bk>
    <bk>
      <rc t="1" v="677"/>
    </bk>
    <bk>
      <rc t="1" v="678"/>
    </bk>
    <bk>
      <rc t="1" v="679"/>
    </bk>
    <bk>
      <rc t="1" v="680"/>
    </bk>
    <bk>
      <rc t="1" v="681"/>
    </bk>
    <bk>
      <rc t="1" v="682"/>
    </bk>
    <bk>
      <rc t="1" v="683"/>
    </bk>
    <bk>
      <rc t="1" v="684"/>
    </bk>
    <bk>
      <rc t="1" v="685"/>
    </bk>
    <bk>
      <rc t="1" v="686"/>
    </bk>
    <bk>
      <rc t="1" v="687"/>
    </bk>
    <bk>
      <rc t="1" v="688"/>
    </bk>
    <bk>
      <rc t="1" v="689"/>
    </bk>
    <bk>
      <rc t="1" v="690"/>
    </bk>
    <bk>
      <rc t="1" v="691"/>
    </bk>
    <bk>
      <rc t="1" v="692"/>
    </bk>
    <bk>
      <rc t="1" v="693"/>
    </bk>
    <bk>
      <rc t="1" v="694"/>
    </bk>
    <bk>
      <rc t="1" v="695"/>
    </bk>
    <bk>
      <rc t="1" v="696"/>
    </bk>
    <bk>
      <rc t="1" v="697"/>
    </bk>
    <bk>
      <rc t="1" v="698"/>
    </bk>
    <bk>
      <rc t="1" v="699"/>
    </bk>
    <bk>
      <rc t="1" v="700"/>
    </bk>
    <bk>
      <rc t="1" v="701"/>
    </bk>
    <bk>
      <rc t="1" v="702"/>
    </bk>
    <bk>
      <rc t="1" v="703"/>
    </bk>
    <bk>
      <rc t="1" v="704"/>
    </bk>
    <bk>
      <rc t="1" v="705"/>
    </bk>
    <bk>
      <rc t="1" v="706"/>
    </bk>
    <bk>
      <rc t="1" v="707"/>
    </bk>
    <bk>
      <rc t="1" v="708"/>
    </bk>
    <bk>
      <rc t="1" v="709"/>
    </bk>
    <bk>
      <rc t="1" v="710"/>
    </bk>
    <bk>
      <rc t="1" v="711"/>
    </bk>
    <bk>
      <rc t="1" v="712"/>
    </bk>
    <bk>
      <rc t="1" v="713"/>
    </bk>
    <bk>
      <rc t="1" v="714"/>
    </bk>
    <bk>
      <rc t="1" v="715"/>
    </bk>
    <bk>
      <rc t="1" v="716"/>
    </bk>
    <bk>
      <rc t="1" v="717"/>
    </bk>
    <bk>
      <rc t="1" v="718"/>
    </bk>
    <bk>
      <rc t="1" v="719"/>
    </bk>
    <bk>
      <rc t="1" v="720"/>
    </bk>
    <bk>
      <rc t="1" v="721"/>
    </bk>
    <bk>
      <rc t="1" v="722"/>
    </bk>
    <bk>
      <rc t="1" v="723"/>
    </bk>
    <bk>
      <rc t="1" v="724"/>
    </bk>
    <bk>
      <rc t="1" v="725"/>
    </bk>
    <bk>
      <rc t="1" v="726"/>
    </bk>
    <bk>
      <rc t="1" v="727"/>
    </bk>
    <bk>
      <rc t="1" v="728"/>
    </bk>
    <bk>
      <rc t="1" v="729"/>
    </bk>
    <bk>
      <rc t="1" v="730"/>
    </bk>
    <bk>
      <rc t="1" v="731"/>
    </bk>
    <bk>
      <rc t="1" v="732"/>
    </bk>
    <bk>
      <rc t="1" v="733"/>
    </bk>
    <bk>
      <rc t="1" v="734"/>
    </bk>
    <bk>
      <rc t="1" v="735"/>
    </bk>
    <bk>
      <rc t="1" v="736"/>
    </bk>
    <bk>
      <rc t="1" v="737"/>
    </bk>
    <bk>
      <rc t="1" v="738"/>
    </bk>
    <bk>
      <rc t="1" v="739"/>
    </bk>
    <bk>
      <rc t="1" v="740"/>
    </bk>
    <bk>
      <rc t="1" v="741"/>
    </bk>
    <bk>
      <rc t="1" v="742"/>
    </bk>
    <bk>
      <rc t="1" v="743"/>
    </bk>
    <bk>
      <rc t="1" v="744"/>
    </bk>
    <bk>
      <rc t="1" v="745"/>
    </bk>
    <bk>
      <rc t="1" v="746"/>
    </bk>
    <bk>
      <rc t="1" v="747"/>
    </bk>
    <bk>
      <rc t="1" v="748"/>
    </bk>
    <bk>
      <rc t="1" v="749"/>
    </bk>
    <bk>
      <rc t="1" v="750"/>
    </bk>
    <bk>
      <rc t="1" v="751"/>
    </bk>
    <bk>
      <rc t="1" v="752"/>
    </bk>
    <bk>
      <rc t="1" v="753"/>
    </bk>
    <bk>
      <rc t="1" v="754"/>
    </bk>
    <bk>
      <rc t="1" v="755"/>
    </bk>
    <bk>
      <rc t="1" v="756"/>
    </bk>
    <bk>
      <rc t="1" v="757"/>
    </bk>
    <bk>
      <rc t="1" v="758"/>
    </bk>
    <bk>
      <rc t="1" v="759"/>
    </bk>
    <bk>
      <rc t="1" v="760"/>
    </bk>
    <bk>
      <rc t="1" v="761"/>
    </bk>
    <bk>
      <rc t="1" v="762"/>
    </bk>
    <bk>
      <rc t="1" v="763"/>
    </bk>
    <bk>
      <rc t="1" v="764"/>
    </bk>
    <bk>
      <rc t="1" v="765"/>
    </bk>
    <bk>
      <rc t="1" v="766"/>
    </bk>
    <bk>
      <rc t="1" v="767"/>
    </bk>
    <bk>
      <rc t="1" v="768"/>
    </bk>
    <bk>
      <rc t="1" v="769"/>
    </bk>
    <bk>
      <rc t="1" v="770"/>
    </bk>
    <bk>
      <rc t="1" v="771"/>
    </bk>
    <bk>
      <rc t="1" v="772"/>
    </bk>
    <bk>
      <rc t="1" v="773"/>
    </bk>
    <bk>
      <rc t="1" v="774"/>
    </bk>
    <bk>
      <rc t="1" v="775"/>
    </bk>
    <bk>
      <rc t="1" v="776"/>
    </bk>
    <bk>
      <rc t="1" v="777"/>
    </bk>
    <bk>
      <rc t="1" v="778"/>
    </bk>
    <bk>
      <rc t="1" v="779"/>
    </bk>
    <bk>
      <rc t="1" v="780"/>
    </bk>
    <bk>
      <rc t="1" v="781"/>
    </bk>
    <bk>
      <rc t="1" v="782"/>
    </bk>
    <bk>
      <rc t="1" v="783"/>
    </bk>
    <bk>
      <rc t="1" v="784"/>
    </bk>
    <bk>
      <rc t="1" v="785"/>
    </bk>
    <bk>
      <rc t="1" v="786"/>
    </bk>
    <bk>
      <rc t="1" v="787"/>
    </bk>
    <bk>
      <rc t="1" v="788"/>
    </bk>
    <bk>
      <rc t="1" v="789"/>
    </bk>
    <bk>
      <rc t="1" v="790"/>
    </bk>
    <bk>
      <rc t="1" v="791"/>
    </bk>
    <bk>
      <rc t="1" v="792"/>
    </bk>
    <bk>
      <rc t="1" v="793"/>
    </bk>
    <bk>
      <rc t="1" v="794"/>
    </bk>
    <bk>
      <rc t="1" v="795"/>
    </bk>
    <bk>
      <rc t="1" v="796"/>
    </bk>
    <bk>
      <rc t="1" v="797"/>
    </bk>
    <bk>
      <rc t="1" v="798"/>
    </bk>
    <bk>
      <rc t="1" v="799"/>
    </bk>
    <bk>
      <rc t="1" v="800"/>
    </bk>
    <bk>
      <rc t="1" v="801"/>
    </bk>
    <bk>
      <rc t="1" v="802"/>
    </bk>
    <bk>
      <rc t="1" v="803"/>
    </bk>
    <bk>
      <rc t="1" v="804"/>
    </bk>
    <bk>
      <rc t="1" v="805"/>
    </bk>
    <bk>
      <rc t="1" v="806"/>
    </bk>
    <bk>
      <rc t="1" v="807"/>
    </bk>
    <bk>
      <rc t="1" v="808"/>
    </bk>
    <bk>
      <rc t="1" v="809"/>
    </bk>
    <bk>
      <rc t="1" v="810"/>
    </bk>
    <bk>
      <rc t="1" v="811"/>
    </bk>
    <bk>
      <rc t="1" v="812"/>
    </bk>
    <bk>
      <rc t="1" v="813"/>
    </bk>
    <bk>
      <rc t="1" v="814"/>
    </bk>
    <bk>
      <rc t="1" v="815"/>
    </bk>
    <bk>
      <rc t="1" v="816"/>
    </bk>
    <bk>
      <rc t="1" v="817"/>
    </bk>
    <bk>
      <rc t="1" v="818"/>
    </bk>
    <bk>
      <rc t="1" v="819"/>
    </bk>
    <bk>
      <rc t="1" v="820"/>
    </bk>
    <bk>
      <rc t="1" v="821"/>
    </bk>
    <bk>
      <rc t="1" v="822"/>
    </bk>
    <bk>
      <rc t="1" v="823"/>
    </bk>
    <bk>
      <rc t="1" v="824"/>
    </bk>
    <bk>
      <rc t="1" v="825"/>
    </bk>
    <bk>
      <rc t="1" v="826"/>
    </bk>
    <bk>
      <rc t="1" v="827"/>
    </bk>
    <bk>
      <rc t="1" v="828"/>
    </bk>
    <bk>
      <rc t="1" v="829"/>
    </bk>
    <bk>
      <rc t="1" v="830"/>
    </bk>
    <bk>
      <rc t="1" v="831"/>
    </bk>
    <bk>
      <rc t="1" v="832"/>
    </bk>
    <bk>
      <rc t="1" v="833"/>
    </bk>
    <bk>
      <rc t="1" v="834"/>
    </bk>
    <bk>
      <rc t="1" v="835"/>
    </bk>
    <bk>
      <rc t="1" v="836"/>
    </bk>
    <bk>
      <rc t="1" v="837"/>
    </bk>
    <bk>
      <rc t="1" v="838"/>
    </bk>
    <bk>
      <rc t="1" v="839"/>
    </bk>
    <bk>
      <rc t="1" v="840"/>
    </bk>
    <bk>
      <rc t="1" v="841"/>
    </bk>
    <bk>
      <rc t="1" v="842"/>
    </bk>
    <bk>
      <rc t="1" v="843"/>
    </bk>
    <bk>
      <rc t="1" v="844"/>
    </bk>
    <bk>
      <rc t="1" v="845"/>
    </bk>
    <bk>
      <rc t="1" v="846"/>
    </bk>
    <bk>
      <rc t="1" v="847"/>
    </bk>
    <bk>
      <rc t="1" v="848"/>
    </bk>
    <bk>
      <rc t="1" v="849"/>
    </bk>
    <bk>
      <rc t="1" v="850"/>
    </bk>
    <bk>
      <rc t="1" v="851"/>
    </bk>
    <bk>
      <rc t="1" v="852"/>
    </bk>
    <bk>
      <rc t="1" v="853"/>
    </bk>
    <bk>
      <rc t="1" v="854"/>
    </bk>
    <bk>
      <rc t="1" v="855"/>
    </bk>
    <bk>
      <rc t="1" v="856"/>
    </bk>
    <bk>
      <rc t="1" v="857"/>
    </bk>
    <bk>
      <rc t="1" v="858"/>
    </bk>
    <bk>
      <rc t="1" v="859"/>
    </bk>
    <bk>
      <rc t="1" v="860"/>
    </bk>
    <bk>
      <rc t="1" v="861"/>
    </bk>
    <bk>
      <rc t="1" v="862"/>
    </bk>
    <bk>
      <rc t="1" v="863"/>
    </bk>
    <bk>
      <rc t="1" v="864"/>
    </bk>
    <bk>
      <rc t="1" v="865"/>
    </bk>
    <bk>
      <rc t="1" v="866"/>
    </bk>
    <bk>
      <rc t="1" v="867"/>
    </bk>
    <bk>
      <rc t="1" v="868"/>
    </bk>
    <bk>
      <rc t="1" v="869"/>
    </bk>
    <bk>
      <rc t="1" v="870"/>
    </bk>
    <bk>
      <rc t="1" v="871"/>
    </bk>
    <bk>
      <rc t="1" v="872"/>
    </bk>
    <bk>
      <rc t="1" v="873"/>
    </bk>
    <bk>
      <rc t="1" v="874"/>
    </bk>
    <bk>
      <rc t="1" v="875"/>
    </bk>
    <bk>
      <rc t="1" v="876"/>
    </bk>
    <bk>
      <rc t="1" v="877"/>
    </bk>
    <bk>
      <rc t="1" v="878"/>
    </bk>
    <bk>
      <rc t="1" v="879"/>
    </bk>
    <bk>
      <rc t="1" v="880"/>
    </bk>
    <bk>
      <rc t="1" v="881"/>
    </bk>
    <bk>
      <rc t="1" v="882"/>
    </bk>
    <bk>
      <rc t="1" v="883"/>
    </bk>
    <bk>
      <rc t="1" v="884"/>
    </bk>
    <bk>
      <rc t="1" v="885"/>
    </bk>
    <bk>
      <rc t="1" v="886"/>
    </bk>
    <bk>
      <rc t="1" v="887"/>
    </bk>
    <bk>
      <rc t="1" v="888"/>
    </bk>
    <bk>
      <rc t="1" v="889"/>
    </bk>
    <bk>
      <rc t="1" v="890"/>
    </bk>
    <bk>
      <rc t="1" v="891"/>
    </bk>
    <bk>
      <rc t="1" v="892"/>
    </bk>
    <bk>
      <rc t="1" v="893"/>
    </bk>
    <bk>
      <rc t="1" v="894"/>
    </bk>
    <bk>
      <rc t="1" v="895"/>
    </bk>
    <bk>
      <rc t="1" v="896"/>
    </bk>
    <bk>
      <rc t="1" v="897"/>
    </bk>
    <bk>
      <rc t="1" v="898"/>
    </bk>
    <bk>
      <rc t="1" v="899"/>
    </bk>
    <bk>
      <rc t="1" v="900"/>
    </bk>
    <bk>
      <rc t="1" v="901"/>
    </bk>
    <bk>
      <rc t="1" v="902"/>
    </bk>
    <bk>
      <rc t="1" v="903"/>
    </bk>
    <bk>
      <rc t="1" v="904"/>
    </bk>
    <bk>
      <rc t="1" v="905"/>
    </bk>
    <bk>
      <rc t="1" v="906"/>
    </bk>
    <bk>
      <rc t="1" v="907"/>
    </bk>
    <bk>
      <rc t="1" v="908"/>
    </bk>
    <bk>
      <rc t="1" v="909"/>
    </bk>
    <bk>
      <rc t="1" v="910"/>
    </bk>
    <bk>
      <rc t="1" v="911"/>
    </bk>
    <bk>
      <rc t="1" v="912"/>
    </bk>
    <bk>
      <rc t="1" v="913"/>
    </bk>
    <bk>
      <rc t="1" v="914"/>
    </bk>
    <bk>
      <rc t="1" v="915"/>
    </bk>
    <bk>
      <rc t="1" v="916"/>
    </bk>
    <bk>
      <rc t="1" v="917"/>
    </bk>
    <bk>
      <rc t="1" v="918"/>
    </bk>
    <bk>
      <rc t="1" v="919"/>
    </bk>
    <bk>
      <rc t="1" v="920"/>
    </bk>
    <bk>
      <rc t="1" v="921"/>
    </bk>
    <bk>
      <rc t="1" v="922"/>
    </bk>
    <bk>
      <rc t="1" v="923"/>
    </bk>
    <bk>
      <rc t="1" v="924"/>
    </bk>
    <bk>
      <rc t="1" v="925"/>
    </bk>
    <bk>
      <rc t="1" v="926"/>
    </bk>
    <bk>
      <rc t="1" v="927"/>
    </bk>
    <bk>
      <rc t="1" v="928"/>
    </bk>
    <bk>
      <rc t="1" v="929"/>
    </bk>
    <bk>
      <rc t="1" v="930"/>
    </bk>
    <bk>
      <rc t="1" v="931"/>
    </bk>
    <bk>
      <rc t="1" v="932"/>
    </bk>
    <bk>
      <rc t="1" v="933"/>
    </bk>
    <bk>
      <rc t="1" v="934"/>
    </bk>
    <bk>
      <rc t="1" v="935"/>
    </bk>
    <bk>
      <rc t="1" v="936"/>
    </bk>
    <bk>
      <rc t="1" v="937"/>
    </bk>
    <bk>
      <rc t="1" v="938"/>
    </bk>
    <bk>
      <rc t="1" v="939"/>
    </bk>
    <bk>
      <rc t="1" v="940"/>
    </bk>
    <bk>
      <rc t="1" v="941"/>
    </bk>
    <bk>
      <rc t="1" v="942"/>
    </bk>
    <bk>
      <rc t="1" v="943"/>
    </bk>
    <bk>
      <rc t="1" v="944"/>
    </bk>
    <bk>
      <rc t="1" v="945"/>
    </bk>
    <bk>
      <rc t="1" v="946"/>
    </bk>
    <bk>
      <rc t="1" v="947"/>
    </bk>
    <bk>
      <rc t="1" v="948"/>
    </bk>
    <bk>
      <rc t="1" v="949"/>
    </bk>
    <bk>
      <rc t="1" v="950"/>
    </bk>
    <bk>
      <rc t="1" v="951"/>
    </bk>
    <bk>
      <rc t="1" v="952"/>
    </bk>
    <bk>
      <rc t="1" v="953"/>
    </bk>
  </valueMetadata>
</metadata>
</file>

<file path=xl/sharedStrings.xml><?xml version="1.0" encoding="utf-8"?>
<sst xmlns="http://schemas.openxmlformats.org/spreadsheetml/2006/main" count="145" uniqueCount="61">
  <si>
    <t>Row Labels</t>
  </si>
  <si>
    <t>Revenue</t>
  </si>
  <si>
    <t>DirectCosts</t>
  </si>
  <si>
    <t>Expense</t>
  </si>
  <si>
    <t>Overheads</t>
  </si>
  <si>
    <t>OtherIncome</t>
  </si>
  <si>
    <t>Interest Income</t>
  </si>
  <si>
    <t>Sales</t>
  </si>
  <si>
    <t>Cost of Goods Sold</t>
  </si>
  <si>
    <t>Purchases</t>
  </si>
  <si>
    <t>Advertising</t>
  </si>
  <si>
    <t>Bank Fees</t>
  </si>
  <si>
    <t>Cleaning</t>
  </si>
  <si>
    <t>Consulting &amp; Accounting</t>
  </si>
  <si>
    <t>Dues &amp; Subscriptions</t>
  </si>
  <si>
    <t>Entertainment</t>
  </si>
  <si>
    <t>Freight &amp; Courier</t>
  </si>
  <si>
    <t>General Expenses</t>
  </si>
  <si>
    <t>Income Tax Expense</t>
  </si>
  <si>
    <t>Legal expenses</t>
  </si>
  <si>
    <t>Light, Power, Heating</t>
  </si>
  <si>
    <t>Motor Vehicle Expenses</t>
  </si>
  <si>
    <t>Office Expenses</t>
  </si>
  <si>
    <t>Payroll Tax Expense</t>
  </si>
  <si>
    <t>Printing &amp; Stationery</t>
  </si>
  <si>
    <t>Rent</t>
  </si>
  <si>
    <t>Repairs and Maintenance</t>
  </si>
  <si>
    <t>Subscriptions</t>
  </si>
  <si>
    <t>Telephone &amp; Internet</t>
  </si>
  <si>
    <t>Travel - National</t>
  </si>
  <si>
    <t>Wages and Salaries</t>
  </si>
  <si>
    <t>ACT</t>
  </si>
  <si>
    <t>Values</t>
  </si>
  <si>
    <t>BUD</t>
  </si>
  <si>
    <t>Statement</t>
  </si>
  <si>
    <t>All</t>
  </si>
  <si>
    <t>PL</t>
  </si>
  <si>
    <t>EBIT</t>
  </si>
  <si>
    <t>LegalName</t>
  </si>
  <si>
    <t>VAR</t>
  </si>
  <si>
    <t>VAR %</t>
  </si>
  <si>
    <t>Gross Margin</t>
  </si>
  <si>
    <t>Column Labels</t>
  </si>
  <si>
    <t>Total ACT</t>
  </si>
  <si>
    <t>Total BUD</t>
  </si>
  <si>
    <t>Year</t>
  </si>
  <si>
    <t>2021</t>
  </si>
  <si>
    <t>ACT Trend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</si>
  <si>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</si>
  <si>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</si>
  <si>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</si>
  <si>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</si>
  <si>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</si>
  <si>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</si>
  <si>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</si>
  <si>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</si>
  <si>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</si>
  <si>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</si>
  <si>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</si>
  <si>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</si>
  <si>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Intercompany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</si>
</sst>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\$#,##0.00;\(\$#,##0.00\);\$#,##0.00"/>
  </numFmts>
  <fonts count="2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medium">
        <color theme="1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8" fillId="0" borderId="0" applyFont="0" applyFill="0" applyBorder="0" applyAlignment="0" applyProtection="0"/>
    <xf numFmtId="44" fontId="20" fillId="0" borderId="0" applyFont="0" applyFill="0" applyBorder="0" applyAlignment="0" applyProtection="0"/>
  </cellStyleXfs>
  <cellXfs count="40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4" fontId="0" fillId="0" borderId="0" xfId="0" applyNumberFormat="1"/>
    <xf numFmtId="9" fontId="0" fillId="0" borderId="0" xfId="42" applyFont="1"/>
    <xf numFmtId="0" fontId="0" fillId="0" borderId="10" xfId="0" applyBorder="1" applyAlignment="1">
      <alignment horizontal="left" indent="1"/>
    </xf>
    <xf numFmtId="0" fontId="0" fillId="0" borderId="10" xfId="0" applyBorder="1"/>
    <xf numFmtId="9" fontId="0" fillId="0" borderId="10" xfId="42" applyFont="1" applyBorder="1"/>
    <xf numFmtId="9" fontId="0" fillId="0" borderId="0" xfId="42" applyFont="1" applyBorder="1"/>
    <xf numFmtId="0" fontId="16" fillId="33" borderId="0" xfId="0" applyFont="1" applyFill="1"/>
    <xf numFmtId="0" fontId="19" fillId="0" borderId="0" xfId="0" applyFont="1" applyAlignment="1">
      <alignment horizontal="left" indent="1"/>
    </xf>
    <xf numFmtId="0" fontId="19" fillId="0" borderId="0" xfId="0" applyFont="1"/>
    <xf numFmtId="9" fontId="19" fillId="0" borderId="0" xfId="42" applyFont="1"/>
    <xf numFmtId="0" fontId="16" fillId="34" borderId="0" xfId="0" applyFont="1" applyFill="1" applyAlignment="1">
      <alignment horizontal="left"/>
    </xf>
    <xf numFmtId="0" fontId="16" fillId="34" borderId="0" xfId="0" applyFont="1" applyFill="1"/>
    <xf numFmtId="9" fontId="16" fillId="34" borderId="0" xfId="42" applyFont="1" applyFill="1"/>
    <xf numFmtId="0" fontId="16" fillId="0" borderId="11" xfId="0" applyFont="1" applyBorder="1" applyAlignment="1">
      <alignment horizontal="left"/>
    </xf>
    <xf numFmtId="0" fontId="16" fillId="0" borderId="11" xfId="0" applyFont="1" applyBorder="1"/>
    <xf numFmtId="9" fontId="16" fillId="0" borderId="11" xfId="42" applyFont="1" applyBorder="1"/>
    <xf numFmtId="0" fontId="0" fillId="35" borderId="0" xfId="0" applyFill="1"/>
    <xf numFmtId="0" fontId="0" fillId="35" borderId="0" xfId="0" applyFill="1" applyAlignment="1">
      <alignment horizontal="left" indent="1"/>
    </xf>
    <xf numFmtId="0" fontId="16" fillId="0" borderId="0" xfId="0" applyFont="1" applyAlignment="1">
      <alignment horizontal="left"/>
    </xf>
    <xf numFmtId="0" fontId="16" fillId="0" borderId="0" xfId="0" applyFont="1"/>
    <xf numFmtId="0" fontId="16" fillId="35" borderId="12" xfId="0" applyFont="1" applyFill="1" applyBorder="1"/>
    <xf numFmtId="0" fontId="16" fillId="35" borderId="11" xfId="0" applyFont="1" applyFill="1" applyBorder="1" applyAlignment="1">
      <alignment horizontal="left"/>
    </xf>
    <xf numFmtId="0" fontId="0" fillId="35" borderId="10" xfId="0" applyFill="1" applyBorder="1" applyAlignment="1">
      <alignment horizontal="left" indent="1"/>
    </xf>
    <xf numFmtId="0" fontId="16" fillId="10" borderId="0" xfId="19" applyFont="1"/>
    <xf numFmtId="1" fontId="16" fillId="0" borderId="0" xfId="0" applyNumberFormat="1" applyFont="1"/>
    <xf numFmtId="1" fontId="16" fillId="0" borderId="0" xfId="43" applyNumberFormat="1" applyFont="1"/>
    <xf numFmtId="1" fontId="0" fillId="35" borderId="0" xfId="0" applyNumberFormat="1" applyFill="1"/>
    <xf numFmtId="1" fontId="0" fillId="35" borderId="0" xfId="43" applyNumberFormat="1" applyFont="1" applyFill="1"/>
    <xf numFmtId="1" fontId="16" fillId="35" borderId="0" xfId="43" applyNumberFormat="1" applyFont="1" applyFill="1"/>
    <xf numFmtId="1" fontId="0" fillId="35" borderId="10" xfId="0" applyNumberFormat="1" applyFill="1" applyBorder="1"/>
    <xf numFmtId="1" fontId="0" fillId="35" borderId="10" xfId="43" applyNumberFormat="1" applyFont="1" applyFill="1" applyBorder="1"/>
    <xf numFmtId="1" fontId="16" fillId="35" borderId="10" xfId="43" applyNumberFormat="1" applyFont="1" applyFill="1" applyBorder="1"/>
    <xf numFmtId="1" fontId="0" fillId="0" borderId="0" xfId="0" applyNumberFormat="1"/>
    <xf numFmtId="1" fontId="0" fillId="0" borderId="0" xfId="43" applyNumberFormat="1" applyFont="1"/>
    <xf numFmtId="1" fontId="16" fillId="35" borderId="11" xfId="0" applyNumberFormat="1" applyFont="1" applyFill="1" applyBorder="1"/>
    <xf numFmtId="1" fontId="16" fillId="35" borderId="11" xfId="43" applyNumberFormat="1" applyFont="1" applyFill="1" applyBorder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3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DD2B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olapFunctions">
    <main first="PBI">
      <tp t="e">
        <v>#N/A</v>
        <stp>1</stp>
        <tr r="O11" s="7"/>
        <tr r="O24" s="7"/>
        <tr r="O14" s="7"/>
        <tr r="O29" s="7"/>
        <tr r="O13" s="7"/>
        <tr r="O12" s="7"/>
        <tr r="O21" s="7"/>
        <tr r="O18" s="7"/>
        <tr r="O32" s="7"/>
        <tr r="O20" s="7"/>
        <tr r="P27" s="7"/>
        <tr r="P14" s="7"/>
        <tr r="P13" s="7"/>
        <tr r="P33" s="7"/>
        <tr r="P18" s="7"/>
        <tr r="P29" s="7"/>
        <tr r="P24" s="7"/>
        <tr r="P12" s="7"/>
        <tr r="P34" s="7"/>
        <tr r="P31" s="7"/>
        <tr r="P32" s="7"/>
        <tr r="P20" s="7"/>
        <tr r="D22" s="7"/>
        <tr r="C22" s="7"/>
        <tr r="F22" s="7"/>
        <tr r="O22" s="7"/>
        <tr r="H22" s="7"/>
        <tr r="M22" s="7"/>
        <tr r="I22" s="7"/>
        <tr r="P22" s="7"/>
        <tr r="G22" s="7"/>
        <tr r="J22" s="7"/>
        <tr r="N22" s="7"/>
        <tr r="E22" s="7"/>
        <tr r="L22" s="7"/>
        <tr r="N11" s="7"/>
        <tr r="N24" s="7"/>
        <tr r="N18" s="7"/>
        <tr r="N27" s="7"/>
        <tr r="N14" s="7"/>
        <tr r="N12" s="7"/>
        <tr r="N13" s="7"/>
        <tr r="H23" s="7"/>
        <tr r="D23" s="7"/>
        <tr r="O23" s="7"/>
        <tr r="K23" s="7"/>
        <tr r="P23" s="7"/>
        <tr r="C23" s="7"/>
        <tr r="L23" s="7"/>
        <tr r="F23" s="7"/>
        <tr r="N23" s="7"/>
        <tr r="L25" s="7"/>
        <tr r="H25" s="7"/>
        <tr r="D25" s="7"/>
        <tr r="M25" s="7"/>
        <tr r="P25" s="7"/>
        <tr r="G25" s="7"/>
        <tr r="C25" s="7"/>
        <tr r="O25" s="7"/>
        <tr r="K25" s="7"/>
        <tr r="J25" s="7"/>
        <tr r="N25" s="7"/>
        <tr r="L30" s="7"/>
        <tr r="K30" s="7"/>
        <tr r="J30" s="7"/>
        <tr r="I30" s="7"/>
        <tr r="H30" s="7"/>
        <tr r="G30" s="7"/>
        <tr r="C30" s="7"/>
        <tr r="F30" s="7"/>
        <tr r="P30" s="7"/>
        <tr r="N30" s="7"/>
        <tr r="E30" s="7"/>
        <tr r="D30" s="7"/>
        <tr r="H20" s="7"/>
        <tr r="G20" s="7"/>
        <tr r="F20" s="7"/>
        <tr r="E20" s="7"/>
        <tr r="L20" s="7"/>
        <tr r="D20" s="7"/>
        <tr r="N20" s="7"/>
        <tr r="C20" s="7"/>
        <tr r="I20" s="7"/>
        <tr r="M20" s="7"/>
        <tr r="J20" s="7"/>
        <tr r="J26" s="7"/>
        <tr r="G26" s="7"/>
        <tr r="I26" s="7"/>
        <tr r="P26" s="7"/>
        <tr r="O26" s="7"/>
        <tr r="N26" s="7"/>
        <tr r="F26" s="7"/>
        <tr r="E26" s="7"/>
        <tr r="M26" s="7"/>
        <tr r="K26" s="7"/>
        <tr r="J31" s="7"/>
        <tr r="I31" s="7"/>
        <tr r="H31" s="7"/>
        <tr r="O31" s="7"/>
        <tr r="G31" s="7"/>
        <tr r="F31" s="7"/>
        <tr r="K31" s="7"/>
        <tr r="E31" s="7"/>
        <tr r="L31" s="7"/>
        <tr r="D31" s="7"/>
        <tr r="C31" s="7"/>
        <tr r="F21" s="7"/>
        <tr r="E21" s="7"/>
        <tr r="I21" s="7"/>
        <tr r="D21" s="7"/>
        <tr r="C21" s="7"/>
        <tr r="J21" s="7"/>
        <tr r="P21" s="7"/>
        <tr r="H32" s="7"/>
        <tr r="G32" s="7"/>
        <tr r="N32" s="7"/>
        <tr r="K32" s="7"/>
        <tr r="F32" s="7"/>
        <tr r="E32" s="7"/>
        <tr r="L32" s="7"/>
        <tr r="J32" s="7"/>
        <tr r="D32" s="7"/>
        <tr r="C32" s="7"/>
        <tr r="O15" s="7"/>
        <tr r="E15" s="7"/>
        <tr r="P15" s="7"/>
        <tr r="H15" s="7"/>
        <tr r="G15" s="7"/>
        <tr r="N15" s="7"/>
        <tr r="M15" s="7"/>
        <tr r="C15" s="7"/>
        <tr r="P16" s="7"/>
        <tr r="O16" s="7"/>
        <tr r="E16" s="7"/>
        <tr r="D16" s="7"/>
        <tr r="N16" s="7"/>
        <tr r="M16" s="7"/>
        <tr r="L16" s="7"/>
        <tr r="K16" s="7"/>
        <tr r="N17" s="7"/>
        <tr r="M17" s="7"/>
        <tr r="L17" s="7"/>
        <tr r="P17" s="7"/>
        <tr r="K17" s="7"/>
        <tr r="D17" s="7"/>
        <tr r="J17" s="7"/>
        <tr r="I17" s="7"/>
        <tr r="C29" s="7"/>
        <tr r="C27" s="7"/>
        <tr r="C13" s="7"/>
        <tr r="C18" s="7"/>
        <tr r="C28" s="7"/>
        <tr r="F9" s="7"/>
        <tr r="O9" s="7"/>
        <tr r="E9" s="7"/>
        <tr r="D9" s="7"/>
        <tr r="J9" s="7"/>
        <tr r="C9" s="7"/>
        <tr r="I9" s="7"/>
        <tr r="P9" s="7"/>
        <tr r="L9" s="7"/>
        <tr r="F33" s="7"/>
        <tr r="E33" s="7"/>
        <tr r="C33" s="7"/>
        <tr r="O33" s="7"/>
        <tr r="D33" s="7"/>
        <tr r="G33" s="7"/>
        <tr r="K33" s="7"/>
        <tr r="H33" s="7"/>
        <tr r="AB10" s="7"/>
        <tr r="D10" s="7"/>
        <tr r="Y10" s="7"/>
        <tr r="AA10" s="7"/>
        <tr r="C10" s="7"/>
        <tr r="H10" s="7"/>
        <tr r="Z10" s="7"/>
        <tr r="P10" s="7"/>
        <tr r="X10" s="7"/>
        <tr r="D34" s="7"/>
        <tr r="O34" s="7"/>
        <tr r="C34" s="7"/>
        <tr r="N34" s="7"/>
        <tr r="E34" s="7"/>
        <tr r="I18" s="7"/>
        <tr r="I13" s="7"/>
        <tr r="I24" s="7"/>
        <tr r="J19" s="7"/>
        <tr r="M19" s="7"/>
        <tr r="I19" s="7"/>
        <tr r="G19" s="7"/>
        <tr r="P19" s="7"/>
        <tr r="N19" s="7"/>
        <tr r="K19" s="7"/>
        <tr r="H19" s="7"/>
        <tr r="O19" s="7"/>
        <tr r="P28" s="7"/>
        <tr r="E28" s="7"/>
        <tr r="O28" s="7"/>
        <tr r="N28" s="7"/>
        <tr r="N29" s="7"/>
        <tr r="M29" s="7"/>
        <tr r="L29" s="7"/>
        <tr r="P11" s="7"/>
        <tr r="D11" s="7"/>
        <tr r="J12" s="7"/>
        <tr r="I12" s="7"/>
        <tr r="L18" s="7"/>
        <tr r="O27" s="7"/>
        <tr r="C11" s="7"/>
        <tr r="O17" s="7"/>
        <tr r="K20" s="7"/>
        <tr r="O30" s="7"/>
        <tr r="N31" s="7"/>
        <tr r="O10" s="7"/>
        <tr r="M9" s="7"/>
        <tr r="K10" s="7"/>
        <tr r="I11" s="7"/>
        <tr r="G12" s="7"/>
        <tr r="E13" s="7"/>
        <tr r="C14" s="7"/>
        <tr r="M21" s="7"/>
        <tr r="K22" s="7"/>
        <tr r="I23" s="7"/>
        <tr r="G24" s="7"/>
        <tr r="E25" s="7"/>
        <tr r="C26" s="7"/>
        <tr r="M33" s="7"/>
        <tr r="K34" s="7"/>
        <tr r="N9" s="7"/>
        <tr r="L10" s="7"/>
        <tr r="J11" s="7"/>
        <tr r="H12" s="7"/>
        <tr r="F13" s="7"/>
        <tr r="D14" s="7"/>
        <tr r="N21" s="7"/>
        <tr r="J23" s="7"/>
        <tr r="H24" s="7"/>
        <tr r="F25" s="7"/>
        <tr r="D26" s="7"/>
        <tr r="N33" s="7"/>
        <tr r="L34" s="7"/>
        <tr r="E10" s="7"/>
        <tr r="M31" s="7"/>
        <tr r="D24" s="7"/>
        <tr r="H34" s="7"/>
        <tr r="K9" s="7"/>
        <tr r="K21" s="7"/>
        <tr r="J10" s="7"/>
        <tr r="F24" s="7"/>
        <tr r="N10" s="7"/>
        <tr r="K12" s="7"/>
        <tr r="M23" s="7"/>
        <tr r="I25" s="7"/>
        <tr r="E27" s="7"/>
        <tr r="F15" s="7"/>
        <tr r="F16" s="7"/>
        <tr r="G9" s="7"/>
        <tr r="G21" s="7"/>
        <tr r="M30" s="7"/>
        <tr r="F34" s="7"/>
        <tr r="G10" s="7"/>
        <tr r="E23" s="7"/>
        <tr r="J33" s="7"/>
        <tr r="E12" s="7"/>
        <tr r="G23" s="7"/>
        <tr r="M32" s="7"/>
        <tr r="D13" s="7"/>
        <tr r="M34" s="7"/>
        <tr r="L11" s="7"/>
        <tr r="J24" s="7"/>
        <tr r="L12" s="7"/>
        <tr r="H26" s="7"/>
        <tr r="K13" s="7"/>
        <tr r="J14" s="7"/>
        <tr r="F28" s="7"/>
        <tr r="G16" s="7"/>
        <tr r="G28" s="7"/>
        <tr r="T10" s="7"/>
        <tr r="L14" s="7"/>
        <tr r="J15" s="7"/>
        <tr r="H16" s="7"/>
        <tr r="F17" s="7"/>
        <tr r="D18" s="7"/>
        <tr r="L26" s="7"/>
        <tr r="J27" s="7"/>
        <tr r="H28" s="7"/>
        <tr r="F29" s="7"/>
        <tr r="M18" s="7"/>
        <tr r="F10" s="7"/>
        <tr r="H21" s="7"/>
        <tr r="C12" s="7"/>
        <tr r="C24" s="7"/>
        <tr r="I33" s="7"/>
        <tr r="L21" s="7"/>
        <tr r="L33" s="7"/>
        <tr r="G13" s="7"/>
        <tr r="C16" s="7"/>
        <tr r="K24" s="7"/>
        <tr r="Q10" s="7"/>
        <tr r="I15" s="7"/>
        <tr r="E17" s="7"/>
        <tr r="E29" s="7"/>
        <tr r="U10" s="7"/>
        <tr r="M14" s="7"/>
        <tr r="K15" s="7"/>
        <tr r="I16" s="7"/>
        <tr r="G17" s="7"/>
        <tr r="E18" s="7"/>
        <tr r="C19" s="7"/>
        <tr r="K27" s="7"/>
        <tr r="I28" s="7"/>
        <tr r="G29" s="7"/>
        <tr r="I32" s="7"/>
        <tr r="H9" s="7"/>
        <tr r="E11" s="7"/>
        <tr r="G34" s="7"/>
        <tr r="D12" s="7"/>
        <tr r="G11" s="7"/>
        <tr r="I34" s="7"/>
        <tr r="F12" s="7"/>
        <tr r="E14" s="7"/>
        <tr r="D15" s="7"/>
        <tr r="D27" s="7"/>
        <tr r="H14" s="7"/>
        <tr r="C17" s="7"/>
        <tr r="V10" s="7"/>
        <tr r="L15" s="7"/>
        <tr r="J16" s="7"/>
        <tr r="H17" s="7"/>
        <tr r="F18" s="7"/>
        <tr r="D19" s="7"/>
        <tr r="L27" s="7"/>
        <tr r="J28" s="7"/>
        <tr r="H29" s="7"/>
        <tr r="L19" s="7"/>
        <tr r="I10" s="7"/>
        <tr r="J34" s="7"/>
        <tr r="F14" s="7"/>
        <tr r="M11" s="7"/>
        <tr r="J13" s="7"/>
        <tr r="L24" s="7"/>
        <tr r="M12" s="7"/>
        <tr r="G27" s="7"/>
        <tr r="L13" s="7"/>
        <tr r="H27" s="7"/>
        <tr r="S10" s="7"/>
        <tr r="K14" s="7"/>
        <tr r="W10" s="7"/>
        <tr r="G18" s="7"/>
        <tr r="E19" s="7"/>
        <tr r="M27" s="7"/>
        <tr r="K28" s="7"/>
        <tr r="I29" s="7"/>
        <tr r="F11" s="7"/>
        <tr r="M10" s="7"/>
        <tr r="G14" s="7"/>
        <tr r="I14" s="7"/>
        <tr r="M24" s="7"/>
        <tr r="R10" s="7"/>
        <tr r="D29" s="7"/>
        <tr r="M13" s="7"/>
        <tr r="I27" s="7"/>
        <tr r="D28" s="7"/>
        <tr r="H18" s="7"/>
        <tr r="F19" s="7"/>
        <tr r="L28" s="7"/>
        <tr r="J29" s="7"/>
        <tr r="J18" s="7"/>
        <tr r="E24" s="7"/>
        <tr r="H11" s="7"/>
        <tr r="K11" s="7"/>
        <tr r="M28" s="7"/>
        <tr r="K29" s="7"/>
        <tr r="H13" s="7"/>
        <tr r="F27" s="7"/>
        <tr r="K18" s="7"/>
        <tr r="AB22" s="7"/>
        <tr r="AA22" s="7"/>
        <tr r="Y22" s="7"/>
        <tr r="Z22" s="7"/>
        <tr r="X22" s="7"/>
        <tr r="W22" s="7"/>
        <tr r="V22" s="7"/>
        <tr r="U22" s="7"/>
        <tr r="S22" s="7"/>
        <tr r="T22" s="7"/>
        <tr r="R22" s="7"/>
        <tr r="Q22" s="7"/>
        <tr r="AA23" s="7"/>
        <tr r="V25" s="7"/>
        <tr r="U25" s="7"/>
        <tr r="X25" s="7"/>
        <tr r="T25" s="7"/>
        <tr r="S25" s="7"/>
        <tr r="AB25" s="7"/>
        <tr r="Y25" s="7"/>
        <tr r="W25" s="7"/>
        <tr r="R25" s="7"/>
        <tr r="AA25" s="7"/>
        <tr r="Q25" s="7"/>
        <tr r="Z25" s="7"/>
        <tr r="X18" s="7"/>
        <tr r="X32" s="7"/>
        <tr r="Z30" s="7"/>
        <tr r="R30" s="7"/>
        <tr r="AA30" s="7"/>
        <tr r="Y30" s="7"/>
        <tr r="V30" s="7"/>
        <tr r="X30" s="7"/>
        <tr r="U30" s="7"/>
        <tr r="Q30" s="7"/>
        <tr r="AB30" s="7"/>
        <tr r="AB20" s="7"/>
        <tr r="AA20" s="7"/>
        <tr r="T26" s="7"/>
        <tr r="S26" s="7"/>
        <tr r="Q26" s="7"/>
        <tr r="R26" s="7"/>
        <tr r="X26" s="7"/>
        <tr r="W26" s="7"/>
        <tr r="AA29" s="7"/>
        <tr r="AA27" s="7"/>
        <tr r="AA18" s="7"/>
        <tr r="AA19" s="7"/>
        <tr r="Y18" s="7"/>
        <tr r="Y14" s="7"/>
        <tr r="Y24" s="7"/>
        <tr r="Y32" s="7"/>
        <tr r="U31" s="7"/>
        <tr r="S31" s="7"/>
        <tr r="Y31" s="7"/>
        <tr r="W31" s="7"/>
        <tr r="AB31" s="7"/>
        <tr r="AA31" s="7"/>
        <tr r="AB21" s="7"/>
        <tr r="AA21" s="7"/>
        <tr r="R14" s="7"/>
        <tr r="R24" s="7"/>
        <tr r="U32" s="7"/>
        <tr r="R32" s="7"/>
        <tr r="AB32" s="7"/>
        <tr r="AA32" s="7"/>
        <tr r="W32" s="7"/>
        <tr r="V32" s="7"/>
        <tr r="T32" s="7"/>
        <tr r="Z32" s="7"/>
        <tr r="AA15" s="7"/>
        <tr r="Z16" s="7"/>
        <tr r="S16" s="7"/>
        <tr r="V16" s="7"/>
        <tr r="T16" s="7"/>
        <tr r="AB17" s="7"/>
        <tr r="Y17" s="7"/>
        <tr r="T17" s="7"/>
        <tr r="W17" s="7"/>
        <tr r="Q17" s="7"/>
        <tr r="Q14" s="7"/>
        <tr r="Z14" s="7"/>
        <tr r="AB9" s="7"/>
        <tr r="AA9" s="7"/>
        <tr r="AB33" s="7"/>
        <tr r="AA33" s="7"/>
        <tr r="S14" s="7"/>
        <tr r="T14" s="7"/>
        <tr r="T24" s="7"/>
        <tr r="W14" s="7"/>
        <tr r="AB28" s="7"/>
        <tr r="AB11" s="7"/>
        <tr r="AB34" s="7"/>
        <tr r="AA34" s="7"/>
        <tr r="V18" s="7"/>
        <tr r="V14" s="7"/>
        <tr r="X24" s="7"/>
        <tr r="AB24" s="7"/>
        <tr r="W24" s="7"/>
        <tr r="V24" s="7"/>
        <tr r="Z11" s="7"/>
        <tr r="Y11" s="7"/>
        <tr r="W11" s="7"/>
        <tr r="X11" s="7"/>
        <tr r="Q18" s="7"/>
        <tr r="R16" s="7"/>
        <tr r="V26" s="7"/>
        <tr r="X14" s="7"/>
        <tr r="U16" s="7"/>
        <tr r="AB13" s="7"/>
        <tr r="Z26" s="7"/>
        <tr r="O8" s="7"/>
        <tr r="AA14" s="7"/>
        <tr r="W16" s="7"/>
        <tr r="U17" s="7"/>
        <tr r="S18" s="7"/>
        <tr r="AA26" s="7"/>
        <tr r="S30" s="7"/>
        <tr r="Q31" s="7"/>
        <tr r="I7" s="7"/>
        <tr r="P8" s="7"/>
        <tr r="AB14" s="7"/>
        <tr r="X16" s="7"/>
        <tr r="V17" s="7"/>
        <tr r="T18" s="7"/>
        <tr r="AB26" s="7"/>
        <tr r="T30" s="7"/>
        <tr r="R31" s="7"/>
        <tr r="U14" s="7"/>
        <tr r="Z24" s="7"/>
        <tr r="AA24" s="7"/>
        <tr r="AB12" s="7"/>
        <tr r="AA13" s="7"/>
        <tr r="Y26" s="7"/>
        <tr r="Y16" s="7"/>
        <tr r="Q32" s="7"/>
        <tr r="T31" s="7"/>
        <tr r="O7" s="7"/>
        <tr r="AA16" s="7"/>
        <tr r="AB23" s="7"/>
        <tr r="AA12" s="7"/>
        <tr r="N8" s="7"/>
        <tr r="X17" s="7"/>
        <tr r="AB27" s="7"/>
        <tr r="W30" s="7"/>
        <tr r="Z17" s="7"/>
        <tr r="V31" s="7"/>
        <tr r="Z18" s="7"/>
        <tr r="X31" s="7"/>
        <tr r="Q11" s="7"/>
        <tr r="R11" s="7"/>
        <tr r="AB18" s="7"/>
        <tr r="Z31" s="7"/>
        <tr r="AA11" s="7"/>
        <tr r="U26" s="7"/>
        <tr r="C7" s="7"/>
        <tr r="S17" s="7"/>
        <tr r="AB15" s="7"/>
        <tr r="AA28" s="7"/>
        <tr r="AB16" s="7"/>
        <tr r="AA17" s="7"/>
        <tr r="AB29" s="7"/>
        <tr r="S11" s="7"/>
        <tr r="Q24" s="7"/>
        <tr r="Q16" s="7"/>
        <tr r="R17" s="7"/>
        <tr r="R18" s="7"/>
        <tr r="K7" s="7"/>
        <tr r="S32" s="7"/>
        <tr r="T11" s="7"/>
        <tr r="AB19" s="7"/>
        <tr r="E7" s="7"/>
        <tr r="W18" s="7"/>
        <tr r="C8" s="7"/>
        <tr r="U11" s="7"/>
        <tr r="S24" s="7"/>
        <tr r="D8" s="7"/>
        <tr r="B10" s="7"/>
        <tr r="V11" s="7"/>
        <tr r="I8" s="7"/>
        <tr r="J8" s="7"/>
        <tr r="L8" s="7"/>
        <tr r="G7" s="7"/>
        <tr r="U18" s="7"/>
        <tr r="U24" s="7"/>
        <tr r="F8" s="7"/>
        <tr r="K8" s="7"/>
        <tr r="M8" s="7"/>
        <tr r="M7" s="7"/>
        <tr r="E8" s="7"/>
        <tr r="G8" s="7"/>
        <tr r="H8" s="7"/>
        <tr r="Z23" s="7"/>
        <tr r="Y23" s="7"/>
        <tr r="X23" s="7"/>
        <tr r="W23" s="7"/>
        <tr r="V23" s="7"/>
        <tr r="U23" s="7"/>
        <tr r="T23" s="7"/>
        <tr r="S23" s="7"/>
        <tr r="R23" s="7"/>
        <tr r="Q23" s="7"/>
        <tr r="X19" s="7"/>
        <tr r="X29" s="7"/>
        <tr r="X33" s="7"/>
        <tr r="X9" s="7"/>
        <tr r="X20" s="7"/>
        <tr r="T20" s="7"/>
        <tr r="S20" s="7"/>
        <tr r="U20" s="7"/>
        <tr r="Z20" s="7"/>
        <tr r="R20" s="7"/>
        <tr r="Q20" s="7"/>
        <tr r="Y20" s="7"/>
        <tr r="W20" s="7"/>
        <tr r="V20" s="7"/>
        <tr r="Y12" s="7"/>
        <tr r="Y29" s="7"/>
        <tr r="Y28" s="7"/>
        <tr r="S21" s="7"/>
        <tr r="Z21" s="7"/>
        <tr r="U21" s="7"/>
        <tr r="Y21" s="7"/>
        <tr r="T21" s="7"/>
        <tr r="X21" s="7"/>
        <tr r="Q21" s="7"/>
        <tr r="R13" s="7"/>
        <tr r="R29" s="7"/>
        <tr r="R12" s="7"/>
        <tr r="R33" s="7"/>
        <tr r="R15" s="7"/>
        <tr r="Q15" s="7"/>
        <tr r="W15" s="7"/>
        <tr r="U15" s="7"/>
        <tr r="S15" s="7"/>
        <tr r="Q27" s="7"/>
        <tr r="Q13" s="7"/>
        <tr r="Z28" s="7"/>
        <tr r="Z29" s="7"/>
        <tr r="Z12" s="7"/>
        <tr r="R9" s="7"/>
        <tr r="Z9" s="7"/>
        <tr r="U9" s="7"/>
        <tr r="Y9" s="7"/>
        <tr r="T33" s="7"/>
        <tr r="Q33" s="7"/>
        <tr r="Z33" s="7"/>
        <tr r="Y33" s="7"/>
        <tr r="S13" s="7"/>
        <tr r="T13" s="7"/>
        <tr r="T27" s="7"/>
        <tr r="T12" s="7"/>
        <tr r="W27" s="7"/>
        <tr r="Z34" s="7"/>
        <tr r="Y34" s="7"/>
        <tr r="R34" s="7"/>
        <tr r="X34" s="7"/>
        <tr r="T19" s="7"/>
        <tr r="T28" s="7"/>
        <tr r="W29" s="7"/>
        <tr r="X12" s="7"/>
        <tr r="W12" s="7"/>
        <tr r="V12" s="7"/>
        <tr r="V13" s="7"/>
        <tr r="U13" s="7"/>
        <tr r="R27" s="7"/>
        <tr r="S27" s="7"/>
        <tr r="S29" s="7"/>
        <tr r="Y15" s="7"/>
        <tr r="Q19" s="7"/>
        <tr r="Y27" s="7"/>
        <tr r="W28" s="7"/>
        <tr r="U29" s="7"/>
        <tr r="Z15" s="7"/>
        <tr r="R19" s="7"/>
        <tr r="Z27" s="7"/>
        <tr r="X28" s="7"/>
        <tr r="V29" s="7"/>
        <tr r="Q28" s="7"/>
        <tr r="T15" s="7"/>
        <tr r="R28" s="7"/>
        <tr r="Y13" s="7"/>
        <tr r="X13" s="7"/>
        <tr r="S28" s="7"/>
        <tr r="V15" s="7"/>
        <tr r="X15" s="7"/>
        <tr r="X27" s="7"/>
        <tr r="S19" s="7"/>
        <tr r="U19" s="7"/>
        <tr r="S33" s="7"/>
        <tr r="T9" s="7"/>
        <tr r="Y19" s="7"/>
        <tr r="S34" s="7"/>
        <tr r="V9" s="7"/>
        <tr r="Z19" s="7"/>
        <tr r="V21" s="7"/>
        <tr r="V33" s="7"/>
        <tr r="T34" s="7"/>
        <tr r="Z13" s="7"/>
        <tr r="Q9" s="7"/>
        <tr r="R21" s="7"/>
        <tr r="Q34" s="7"/>
        <tr r="U33" s="7"/>
        <tr r="W9" s="7"/>
        <tr r="Q12" s="7"/>
        <tr r="W21" s="7"/>
        <tr r="W33" s="7"/>
        <tr r="U34" s="7"/>
        <tr r="V28" s="7"/>
        <tr r="S9" s="7"/>
        <tr r="V34" s="7"/>
        <tr r="Q29" s="7"/>
        <tr r="U28" s="7"/>
        <tr r="S12" s="7"/>
        <tr r="W34" s="7"/>
        <tr r="W13" s="7"/>
        <tr r="V27" s="7"/>
        <tr r="T29" s="7"/>
        <tr r="W19" s="7"/>
        <tr r="V19" s="7"/>
        <tr r="U27" s="7"/>
        <tr r="U12" s="7"/>
        <tr r="B22" s="7"/>
        <tr r="B23" s="7"/>
        <tr r="B25" s="7"/>
        <tr r="Y7" s="7"/>
        <tr r="X8" s="7"/>
        <tr r="B30" s="7"/>
        <tr r="B20" s="7"/>
        <tr r="B26" s="7"/>
        <tr r="W7" s="7"/>
        <tr r="AA7" s="7"/>
        <tr r="Y8" s="7"/>
        <tr r="B31" s="7"/>
        <tr r="B21" s="7"/>
        <tr r="R8" s="7"/>
        <tr r="B32" s="7"/>
        <tr r="B15" s="7"/>
        <tr r="B16" s="7"/>
        <tr r="B17" s="7"/>
        <tr r="Q8" s="7"/>
        <tr r="U7" s="7"/>
        <tr r="Z8" s="7"/>
        <tr r="B9" s="7"/>
        <tr r="B33" s="7"/>
        <tr r="S8" s="7"/>
        <tr r="T8" s="7"/>
        <tr r="W8" s="7"/>
        <tr r="AB7" s="7"/>
        <tr r="B34" s="7"/>
        <tr r="S7" s="7"/>
        <tr r="V8" s="7"/>
        <tr r="B19" s="7"/>
        <tr r="B24" s="7"/>
        <tr r="B28" s="7"/>
        <tr r="B29" s="7"/>
        <tr r="B11" s="7"/>
        <tr r="B12" s="7"/>
        <tr r="Q7" s="7"/>
        <tr r="U8" s="7"/>
        <tr r="B13" s="7"/>
        <tr r="B18" s="7"/>
        <tr r="B27" s="7"/>
        <tr r="B14" s="7"/>
        <tr r="D22" s="1"/>
        <tr r="D19" s="1"/>
        <tr r="D11" s="1"/>
        <tr r="D16" s="1"/>
        <tr r="D12" s="1"/>
        <tr r="D13" s="1"/>
        <tr r="D14" s="1"/>
        <tr r="D18" s="1"/>
        <tr r="D15" s="1"/>
        <tr r="D20" s="1"/>
        <tr r="D10" s="1"/>
        <tr r="D17" s="1"/>
        <tr r="D21" s="1"/>
        <tr r="D9" s="1"/>
        <tr r="M20" s="1"/>
        <tr r="M12" s="1"/>
        <tr r="M21" s="1"/>
        <tr r="M10" s="1"/>
        <tr r="M17" s="1"/>
        <tr r="M15" s="1"/>
        <tr r="M9" s="1"/>
        <tr r="M11" s="1"/>
        <tr r="M14" s="1"/>
        <tr r="M22" s="1"/>
        <tr r="M16" s="1"/>
        <tr r="M13" s="1"/>
        <tr r="M19" s="1"/>
        <tr r="M18" s="1"/>
        <tr r="G21" s="1"/>
        <tr r="G18" s="1"/>
        <tr r="G14" s="1"/>
        <tr r="G16" s="1"/>
        <tr r="G22" s="1"/>
        <tr r="G15" s="1"/>
        <tr r="G13" s="1"/>
        <tr r="G12" s="1"/>
        <tr r="G11" s="1"/>
        <tr r="G10" s="1"/>
        <tr r="G9" s="1"/>
        <tr r="G20" s="1"/>
        <tr r="G17" s="1"/>
        <tr r="G19" s="1"/>
        <tr r="F17" s="1"/>
        <tr r="J22" s="1"/>
        <tr r="J19" s="1"/>
        <tr r="J13" s="1"/>
        <tr r="J15" s="1"/>
        <tr r="J18" s="1"/>
        <tr r="J17" s="1"/>
        <tr r="J21" s="1"/>
        <tr r="C11" s="1"/>
        <tr r="O11" s="1"/>
        <tr r="P11" s="1"/>
        <tr r="F11" s="1"/>
        <tr r="I11" s="1"/>
        <tr r="J11" s="1"/>
        <tr r="L11" s="1"/>
        <tr r="I16" s="1"/>
        <tr r="P16" s="1"/>
        <tr r="F16" s="1"/>
        <tr r="J16" s="1"/>
        <tr r="C16" s="1"/>
        <tr r="L16" s="1"/>
        <tr r="P21" s="1"/>
        <tr r="O21" s="1"/>
        <tr r="L21" s="1"/>
        <tr r="O20" s="1"/>
        <tr r="P20" s="1"/>
        <tr r="I20" s="1"/>
        <tr r="L20" s="1"/>
        <tr r="C20" s="1"/>
        <tr r="C22" s="1"/>
        <tr r="C17" s="1"/>
        <tr r="C18" s="1"/>
        <tr r="C14" s="1"/>
        <tr r="C10" s="1"/>
        <tr r="I18" s="1"/>
        <tr r="I19" s="1"/>
        <tr r="I14" s="1"/>
        <tr r="P10" s="1"/>
        <tr r="P14" s="1"/>
        <tr r="P18" s="1"/>
        <tr r="P13" s="1"/>
        <tr r="J9" s="1"/>
        <tr r="I9" s="1"/>
        <tr r="C12" s="1"/>
        <tr r="J12" s="1"/>
        <tr r="L15" s="1"/>
        <tr r="C15" s="1"/>
        <tr r="F15" s="1"/>
        <tr r="F19" s="1"/>
        <tr r="F14" s="1"/>
        <tr r="O14" s="1"/>
        <tr r="O18" s="1"/>
        <tr r="L22" s="1"/>
        <tr r="L18" s="1"/>
        <tr r="L14" s="1"/>
        <tr r="O19" s="1"/>
        <tr r="C19" s="1"/>
        <tr r="O13" s="1"/>
        <tr r="I13" s="1"/>
        <tr r="C21" s="1"/>
        <tr r="I15" s="1"/>
        <tr r="L9" s="1"/>
        <tr r="J10" s="1"/>
        <tr r="O9" s="1"/>
        <tr r="I10" s="1"/>
        <tr r="P9" s="1"/>
        <tr r="F10" s="1"/>
        <tr r="J14" s="1"/>
        <tr r="O16" s="1"/>
        <tr r="I21" s="1"/>
        <tr r="I12" s="1"/>
        <tr r="F9" s="1"/>
        <tr r="C13" s="1"/>
        <tr r="F21" s="1"/>
        <tr r="F18" s="1"/>
        <tr r="O15" s="1"/>
        <tr r="F20" s="1"/>
        <tr r="L17" s="1"/>
        <tr r="F13" s="1"/>
        <tr r="J20" s="1"/>
        <tr r="C9" s="1"/>
        <tr r="P17" s="1"/>
        <tr r="L12" s="1"/>
        <tr r="P22" s="1"/>
        <tr r="F12" s="1"/>
        <tr r="P19" s="1"/>
        <tr r="O10" s="1"/>
        <tr r="I17" s="1"/>
        <tr r="L19" s="1"/>
        <tr r="O17" s="1"/>
        <tr r="L13" s="1"/>
        <tr r="I22" s="1"/>
        <tr r="P15" s="1"/>
        <tr r="O22" s="1"/>
        <tr r="O12" s="1"/>
        <tr r="F22" s="1"/>
        <tr r="P12" s="1"/>
        <tr r="L10" s="1"/>
        <tr r="D23" s="4"/>
        <tr r="C33" s="4"/>
        <tr r="C30" s="2"/>
        <tr r="C20" s="4"/>
        <tr r="C13" s="4"/>
        <tr r="C29" s="2"/>
        <tr r="C12" s="4"/>
        <tr r="C19" s="4"/>
        <tr r="C37" s="4"/>
        <tr r="D22" s="4"/>
        <tr r="D9" s="4"/>
        <tr r="D21" s="4"/>
        <tr r="D18" s="4"/>
        <tr r="D24" s="4"/>
        <tr r="D37" s="4"/>
        <tr r="D17" s="4"/>
        <tr r="D25" s="4"/>
        <tr r="D28" s="4"/>
        <tr r="D7" s="4"/>
        <tr r="D35" s="4"/>
        <tr r="D38" s="4"/>
        <tr r="D13" s="4"/>
        <tr r="D11" s="4"/>
        <tr r="D26" s="4"/>
        <tr r="D34" s="4"/>
        <tr r="D32" s="4"/>
        <tr r="D15" s="4"/>
        <tr r="D31" s="4"/>
        <tr r="D29" s="4"/>
        <tr r="D16" s="4"/>
        <tr r="D10" s="4"/>
        <tr r="D27" s="4"/>
        <tr r="D20" s="4"/>
        <tr r="D14" s="2"/>
        <tr r="C14" s="2"/>
        <tr r="C36" s="4"/>
        <tr r="D36" s="4"/>
        <tr r="C8" s="2"/>
        <tr r="D8" s="2"/>
        <tr r="D33" s="4"/>
        <tr r="C7" s="2"/>
        <tr r="D7" s="2"/>
        <tr r="D33" s="2"/>
        <tr r="C33" s="2"/>
        <tr r="D26" s="2"/>
        <tr r="C26" s="2"/>
        <tr r="D12" s="4"/>
        <tr r="C30" s="4"/>
        <tr r="D30" s="4"/>
        <tr r="D12" s="2"/>
        <tr r="C12" s="2"/>
        <tr r="C22" s="2"/>
        <tr r="D22" s="2"/>
        <tr r="D19" s="4"/>
        <tr r="D31" s="2"/>
        <tr r="C31" s="2"/>
        <tr r="C14" s="4"/>
        <tr r="D14" s="4"/>
        <tr r="C17" s="2"/>
        <tr r="D17" s="2"/>
        <tr r="D35" s="2"/>
        <tr r="C35" s="2"/>
        <tr r="D39" s="2"/>
        <tr r="D15" s="2"/>
        <tr r="D19" s="2"/>
        <tr r="D23" s="2"/>
        <tr r="C27" s="4"/>
        <tr r="C9" s="4"/>
        <tr r="D25" s="2"/>
        <tr r="C29" s="4"/>
        <tr r="C11" s="4"/>
        <tr r="C24" s="2"/>
        <tr r="C8" s="4"/>
        <tr r="C10" s="2"/>
        <tr r="C17" s="4"/>
        <tr r="C34" s="4"/>
        <tr r="D9" s="2"/>
        <tr r="C34" s="2"/>
        <tr r="D8" s="4"/>
        <tr r="C7" s="4"/>
        <tr r="C9" s="2"/>
        <tr r="D27" s="2"/>
        <tr r="D34" s="2"/>
        <tr r="C21" s="4"/>
        <tr r="C18" s="2"/>
        <tr r="D10" s="2"/>
        <tr r="C37" s="2"/>
        <tr r="C32" s="2"/>
        <tr r="C39" s="2"/>
        <tr r="D29" s="2"/>
        <tr r="C31" s="4"/>
        <tr r="D24" s="2"/>
        <tr r="C36" s="2"/>
        <tr r="D30" s="2"/>
        <tr r="C10" s="4"/>
        <tr r="C16" s="2"/>
        <tr r="C24" s="4"/>
        <tr r="D36" s="2"/>
        <tr r="C26" s="4"/>
        <tr r="D32" s="2"/>
        <tr r="D38" s="2"/>
        <tr r="D37" s="2"/>
        <tr r="C19" s="2"/>
        <tr r="C15" s="4"/>
        <tr r="C21" s="2"/>
        <tr r="C18" s="4"/>
        <tr r="C28" s="4"/>
        <tr r="D21" s="2"/>
        <tr r="C38" s="4"/>
        <tr r="D16" s="2"/>
        <tr r="C28" s="2"/>
        <tr r="C15" s="2"/>
        <tr r="C35" s="4"/>
        <tr r="C23" s="4"/>
        <tr r="C20" s="2"/>
        <tr r="C38" s="2"/>
        <tr r="C16" s="4"/>
        <tr r="C25" s="2"/>
        <tr r="D18" s="2"/>
        <tr r="C23" s="2"/>
        <tr r="D28" s="2"/>
        <tr r="C25" s="4"/>
        <tr r="D20" s="2"/>
        <tr r="D11" s="2"/>
        <tr r="C27" s="2"/>
        <tr r="C32" s="4"/>
        <tr r="C22" s="4"/>
        <tr r="C11" s="2"/>
        <tr r="D6" s="4"/>
        <tr r="B20" s="4"/>
        <tr r="B9" s="2"/>
        <tr r="B10" s="2"/>
        <tr r="B14" s="2"/>
        <tr r="B27" s="4"/>
        <tr r="B36" s="4"/>
        <tr r="G8" s="1"/>
        <tr r="B29" s="2"/>
        <tr r="B8" s="2"/>
        <tr r="J8" s="1"/>
        <tr r="B33" s="4"/>
        <tr r="B34" s="4"/>
        <tr r="B10" s="4"/>
        <tr r="B11" s="1"/>
        <tr r="B11" s="4"/>
        <tr r="B16" s="1"/>
        <tr r="B7" s="2"/>
        <tr r="B33" s="2"/>
        <tr r="B26" s="4"/>
        <tr r="B21" s="1"/>
        <tr r="B20" s="1"/>
        <tr r="B30" s="2"/>
        <tr r="J7" s="1"/>
        <tr r="C7" s="1"/>
        <tr r="B26" s="2"/>
        <tr r="B12" s="4"/>
        <tr r="B30" s="4"/>
        <tr r="B12" s="2"/>
        <tr r="B21" s="2"/>
        <tr r="B24" s="2"/>
        <tr r="B22" s="2"/>
        <tr r="B19" s="4"/>
        <tr r="B38" s="4"/>
        <tr r="I7" s="1"/>
        <tr r="B31" s="2"/>
        <tr r="P8" s="1"/>
        <tr r="R7" s="1"/>
        <tr r="B9" s="1"/>
        <tr r="B14" s="4"/>
        <tr r="B17" s="2"/>
        <tr r="B35" s="4"/>
        <tr r="B12" s="1"/>
        <tr r="B15" s="1"/>
        <tr r="F8" s="1"/>
        <tr r="B23" s="4"/>
        <tr r="O7" s="1"/>
        <tr r="B16" s="4"/>
        <tr r="B16" s="2"/>
        <tr r="B25" s="2"/>
        <tr r="B17" s="4"/>
        <tr r="B28" s="2"/>
        <tr r="B32" s="2"/>
        <tr r="D8" s="1"/>
        <tr r="B29" s="4"/>
        <tr r="P7" s="1"/>
        <tr r="B36" s="2"/>
        <tr r="B18" s="4"/>
        <tr r="L7" s="1"/>
        <tr r="B15" s="4"/>
        <tr r="B21" s="4"/>
        <tr r="B20" s="2"/>
        <tr r="B35" s="2"/>
        <tr r="B8" s="4"/>
        <tr r="L8" s="1"/>
        <tr r="B27" s="2"/>
        <tr r="B32" s="4"/>
        <tr r="O8" s="1"/>
        <tr r="D6" s="2"/>
        <tr r="B22" s="4"/>
        <tr r="B38" s="2"/>
        <tr r="B10" s="1"/>
        <tr r="B17" s="1"/>
        <tr r="B25" s="4"/>
        <tr r="B31" s="4"/>
        <tr r="B19" s="1"/>
        <tr r="B23" s="2"/>
        <tr r="B18" s="1"/>
        <tr r="B7" s="4"/>
        <tr r="B11" s="2"/>
        <tr r="B19" s="2"/>
        <tr r="S7" s="1"/>
        <tr r="F7" s="1"/>
        <tr r="B14" s="1"/>
        <tr r="B28" s="4"/>
        <tr r="B13" s="1"/>
        <tr r="C6" s="4"/>
        <tr r="B9" s="4"/>
        <tr r="B13" s="4"/>
        <tr r="I8" s="1"/>
        <tr r="B18" s="2"/>
        <tr r="B24" s="4"/>
        <tr r="B37" s="2"/>
        <tr r="B37" s="4"/>
        <tr r="B39" s="2"/>
        <tr r="B22" s="1"/>
        <tr r="B34" s="2"/>
        <tr r="M8" s="1"/>
        <tr r="B15" s="2"/>
        <tr r="C6" s="2"/>
        <tr r="C8" s="1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pivotCacheDefinition" Target="pivotCache/pivotCacheDefinition7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pivotCacheDefinition" Target="pivotCache/pivotCacheDefinition1.xml"/><Relationship Id="rId12" Type="http://schemas.openxmlformats.org/officeDocument/2006/relationships/pivotCacheDefinition" Target="pivotCache/pivotCacheDefinition6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5.xml"/><Relationship Id="rId24" Type="http://schemas.openxmlformats.org/officeDocument/2006/relationships/volatileDependencies" Target="volatileDependencies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23" Type="http://schemas.openxmlformats.org/officeDocument/2006/relationships/customXml" Target="../customXml/item3.xml"/><Relationship Id="rId10" Type="http://schemas.openxmlformats.org/officeDocument/2006/relationships/pivotCacheDefinition" Target="pivotCache/pivotCacheDefinition4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theme" Target="theme/theme1.xml"/><Relationship Id="rId22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Martin Kratky" refreshedDate="45956.375277430554" createdVersion="6" refreshedVersion="8" minRefreshableVersion="3" recordCount="0" supportSubquery="1" supportAdvancedDrill="1" xr:uid="{2414EE1E-C0E4-4ADC-BEBB-BB9D0FBE17E8}">
  <cacheSource type="external" connectionId="1"/>
  <cacheFields count="6">
    <cacheField name="[Accounts].[Type].[Type]" caption="Type" numFmtId="0" hierarchy="17" level="1">
      <sharedItems count="5">
        <s v="[Accounts].[Type].&amp;[Revenue]" c="Revenue"/>
        <s v="[Accounts].[Type].&amp;[DirectCosts]" c="DirectCosts"/>
        <s v="[Accounts].[Type].&amp;[Expense]" c="Expense"/>
        <s v="[Accounts].[Type].&amp;[Overheads]" c="Overheads"/>
        <s v="[Accounts].[Type].&amp;[OtherIncome]" c="OtherIncome"/>
      </sharedItems>
    </cacheField>
    <cacheField name="[Accounts].[Name].[Name]" caption="Name" numFmtId="0" hierarchy="11" level="1">
      <sharedItems count="26">
        <s v="[Accounts].[Name].&amp;[Intercompany Revenue]" c="Intercompany Revenue"/>
        <s v="[Accounts].[Name].&amp;[Sales]" c="Sales"/>
        <s v="[Accounts].[Name].&amp;[Cost of Goods Sold]" c="Cost of Goods Sold"/>
        <s v="[Accounts].[Name].&amp;[Purchases]" c="Purchases"/>
        <s v="[Accounts].[Name].&amp;[Advertising]" c="Advertising"/>
        <s v="[Accounts].[Name].&amp;[Bank Fees]" c="Bank Fees"/>
        <s v="[Accounts].[Name].&amp;[Cleaning]" c="Cleaning"/>
        <s v="[Accounts].[Name].&amp;[Consulting &amp; Accounting]" c="Consulting &amp; Accounting"/>
        <s v="[Accounts].[Name].&amp;[Dues &amp; Subscriptions]" c="Dues &amp; Subscriptions"/>
        <s v="[Accounts].[Name].&amp;[Entertainment]" c="Entertainment"/>
        <s v="[Accounts].[Name].&amp;[Freight &amp; Courier]" c="Freight &amp; Courier"/>
        <s v="[Accounts].[Name].&amp;[General Expenses]" c="General Expenses"/>
        <s v="[Accounts].[Name].&amp;[Income Tax Expense]" c="Income Tax Expense"/>
        <s v="[Accounts].[Name].&amp;[Legal expenses]" c="Legal expenses"/>
        <s v="[Accounts].[Name].&amp;[Light, Power, Heating]" c="Light, Power, Heating"/>
        <s v="[Accounts].[Name].&amp;[Motor Vehicle Expenses]" c="Motor Vehicle Expenses"/>
        <s v="[Accounts].[Name].&amp;[Office Expenses]" c="Office Expenses"/>
        <s v="[Accounts].[Name].&amp;[Payroll Tax Expense]" c="Payroll Tax Expense"/>
        <s v="[Accounts].[Name].&amp;[Printing &amp; Stationery]" c="Printing &amp; Stationery"/>
        <s v="[Accounts].[Name].&amp;[Rent]" c="Rent"/>
        <s v="[Accounts].[Name].&amp;[Repairs and Maintenance]" c="Repairs and Maintenance"/>
        <s v="[Accounts].[Name].&amp;[Subscriptions]" c="Subscriptions"/>
        <s v="[Accounts].[Name].&amp;[Telephone &amp; Internet]" c="Telephone &amp; Internet"/>
        <s v="[Accounts].[Name].&amp;[Travel - National]" c="Travel - National"/>
        <s v="[Accounts].[Name].&amp;[Wages and Salaries]" c="Wages and Salaries"/>
        <s v="[Accounts].[Name].&amp;[Interest Income]" c="Interest Income"/>
      </sharedItems>
    </cacheField>
    <cacheField name="[Measures].[ACT]" caption="ACT" numFmtId="0" hierarchy="122" level="32767"/>
    <cacheField name="[Measures].[BUD]" caption="BUD" numFmtId="0" hierarchy="131" level="32767"/>
    <cacheField name="[Accounts].[Statement].[Statement]" caption="Statement" numFmtId="0" hierarchy="15" level="1">
      <sharedItems containsSemiMixedTypes="0" containsString="0"/>
    </cacheField>
    <cacheField name="[Organisation].[LegalName].[LegalName]" caption="LegalName" numFmtId="0" hierarchy="67" level="1">
      <sharedItems containsSemiMixedTypes="0" containsString="0"/>
    </cacheField>
  </cacheFields>
  <cacheHierarchies count="137">
    <cacheHierarchy uniqueName="[Accounts].[Account key]" caption="Account key" attribute="1" defaultMemberUniqueName="[Accounts].[Account key].[All]" allUniqueName="[Accounts].[Account key].[All]" dimensionUniqueName="[Accounts]" displayFolder="" count="0" memberValueDatatype="130" unbalanced="0"/>
    <cacheHierarchy uniqueName="[Accounts].[Account_ID]" caption="Account_ID" attribute="1" defaultMemberUniqueName="[Accounts].[Account_ID].[All]" allUniqueName="[Accounts].[Account_ID].[All]" dimensionUniqueName="[Accounts]" displayFolder="" count="0" memberValueDatatype="20" unbalanced="0"/>
    <cacheHierarchy uniqueName="[Accounts].[BankAccountNumber]" caption="BankAccountNumber" attribute="1" defaultMemberUniqueName="[Accounts].[BankAccountNumber].[All]" allUniqueName="[Accounts].[BankAccountNumber].[All]" dimensionUniqueName="[Accounts]" displayFolder="" count="0" memberValueDatatype="130" unbalanced="0"/>
    <cacheHierarchy uniqueName="[Accounts].[Cash Flow ]" caption="Cash Flow " attribute="1" defaultMemberUniqueName="[Accounts].[Cash Flow ].[All]" allUniqueName="[Accounts].[Cash Flow ].[All]" dimensionUniqueName="[Accounts]" displayFolder="" count="0" memberValueDatatype="130" unbalanced="0"/>
    <cacheHierarchy uniqueName="[Accounts].[Cash Flow Group]" caption="Cash Flow Group" attribute="1" defaultMemberUniqueName="[Accounts].[Cash Flow Group].[All]" allUniqueName="[Accounts].[Cash Flow Group].[All]" dimensionUniqueName="[Accounts]" displayFolder="" count="0" memberValueDatatype="130" unbalanced="0"/>
    <cacheHierarchy uniqueName="[Accounts].[Class]" caption="Class" attribute="1" defaultMemberUniqueName="[Accounts].[Class].[All]" allUniqueName="[Accounts].[Class].[All]" dimensionUniqueName="[Accounts]" displayFolder="" count="0" memberValueDatatype="130" unbalanced="0"/>
    <cacheHierarchy uniqueName="[Accounts].[Code]" caption="Code" attribute="1" defaultMemberUniqueName="[Accounts].[Code].[All]" allUniqueName="[Accounts].[Code].[All]" dimensionUniqueName="[Accounts]" displayFolder="" count="0" memberValueDatatype="20" unbalanced="0"/>
    <cacheHierarchy uniqueName="[Accounts].[CurrencyCode]" caption="CurrencyCode" attribute="1" defaultMemberUniqueName="[Accounts].[CurrencyCode].[All]" allUniqueName="[Accounts].[CurrencyCode].[All]" dimensionUniqueName="[Accounts]" displayFolder="" count="0" memberValueDatatype="130" unbalanced="0"/>
    <cacheHierarchy uniqueName="[Accounts].[Description]" caption="Description" attribute="1" defaultMemberUniqueName="[Accounts].[Description].[All]" allUniqueName="[Accounts].[Description].[All]" dimensionUniqueName="[Accounts]" displayFolder="" count="0" memberValueDatatype="130" unbalanced="0"/>
    <cacheHierarchy uniqueName="[Accounts].[FX Conversion]" caption="FX Conversion" attribute="1" defaultMemberUniqueName="[Accounts].[FX Conversion].[All]" allUniqueName="[Accounts].[FX Conversion].[All]" dimensionUniqueName="[Accounts]" displayFolder="" count="0" memberValueDatatype="130" unbalanced="0"/>
    <cacheHierarchy uniqueName="[Accounts].[IC]" caption="IC" attribute="1" defaultMemberUniqueName="[Accounts].[IC].[All]" allUniqueName="[Accounts].[IC].[All]" dimensionUniqueName="[Accounts]" displayFolder="" count="0" memberValueDatatype="130" unbalanced="0"/>
    <cacheHierarchy uniqueName="[Accounts].[Name]" caption="Name" attribute="1" defaultMemberUniqueName="[Accounts].[Name].[All]" allUniqueName="[Accounts].[Name].[All]" dimensionUniqueName="[Accounts]" displayFolder="" count="2" memberValueDatatype="130" unbalanced="0">
      <fieldsUsage count="2">
        <fieldUsage x="-1"/>
        <fieldUsage x="1"/>
      </fieldsUsage>
    </cacheHierarchy>
    <cacheHierarchy uniqueName="[Accounts].[OrgName]" caption="OrgName" attribute="1" defaultMemberUniqueName="[Accounts].[OrgName].[All]" allUniqueName="[Accounts].[OrgName].[All]" dimensionUniqueName="[Accounts]" displayFolder="" count="0" memberValueDatatype="130" unbalanced="0"/>
    <cacheHierarchy uniqueName="[Accounts].[ReportingCode]" caption="ReportingCode" attribute="1" defaultMemberUniqueName="[Accounts].[ReportingCode].[All]" allUniqueName="[Accounts].[ReportingCode].[All]" dimensionUniqueName="[Accounts]" displayFolder="" count="0" memberValueDatatype="130" unbalanced="0"/>
    <cacheHierarchy uniqueName="[Accounts].[ReportingCodeName]" caption="ReportingCodeName" attribute="1" defaultMemberUniqueName="[Accounts].[ReportingCodeName].[All]" allUniqueName="[Accounts].[ReportingCodeName].[All]" dimensionUniqueName="[Accounts]" displayFolder="" count="0" memberValueDatatype="130" unbalanced="0"/>
    <cacheHierarchy uniqueName="[Accounts].[Statement]" caption="Statement" attribute="1" defaultMemberUniqueName="[Accounts].[Statement].[All]" allUniqueName="[Accounts].[Statement].[All]" dimensionUniqueName="[Accounts]" displayFolder="" count="2" memberValueDatatype="130" unbalanced="0">
      <fieldsUsage count="2">
        <fieldUsage x="-1"/>
        <fieldUsage x="4"/>
      </fieldsUsage>
    </cacheHierarchy>
    <cacheHierarchy uniqueName="[Accounts].[Status]" caption="Status" attribute="1" defaultMemberUniqueName="[Accounts].[Status].[All]" allUniqueName="[Accounts].[Status].[All]" dimensionUniqueName="[Accounts]" displayFolder="" count="0" memberValueDatatype="130" unbalanced="0"/>
    <cacheHierarchy uniqueName="[Accounts].[Type]" caption="Type" attribute="1" defaultMemberUniqueName="[Accounts].[Type].[All]" allUniqueName="[Accounts].[Type].[All]" dimensionUniqueName="[Accounts]" displayFolder="" count="2" memberValueDatatype="130" unbalanced="0">
      <fieldsUsage count="2">
        <fieldUsage x="-1"/>
        <fieldUsage x="0"/>
      </fieldsUsage>
    </cacheHierarchy>
    <cacheHierarchy uniqueName="[Accounts].[Type Order]" caption="Type Order" attribute="1" defaultMemberUniqueName="[Accounts].[Type Order].[All]" allUniqueName="[Accounts].[Type Order].[All]" dimensionUniqueName="[Accounts]" displayFolder="" count="0" memberValueDatatype="20" unbalanced="0"/>
    <cacheHierarchy uniqueName="[Asymmetric].[Order]" caption="Order" attribute="1" defaultMemberUniqueName="[Asymmetric].[Order].[All]" allUniqueName="[Asymmetric].[Order].[All]" dimensionUniqueName="[Asymmetric]" displayFolder="" count="0" memberValueDatatype="130" unbalanced="0"/>
    <cacheHierarchy uniqueName="[Asymmetric].[Report Year]" caption="Report Year" attribute="1" defaultMemberUniqueName="[Asymmetric].[Report Year].[All]" allUniqueName="[Asymmetric].[Report Year].[All]" dimensionUniqueName="[Asymmetric]" displayFolder="" count="0" memberValueDatatype="130" unbalanced="0"/>
    <cacheHierarchy uniqueName="[Asymmetric].[Scenario]" caption="Scenario" attribute="1" defaultMemberUniqueName="[Asymmetric].[Scenario].[All]" allUniqueName="[Asymmetric].[Scenario].[All]" dimensionUniqueName="[Asymmetric]" displayFolder="" count="0" memberValueDatatype="130" unbalanced="0"/>
    <cacheHierarchy uniqueName="[Budget].[Account_ID]" caption="Account_ID" attribute="1" defaultMemberUniqueName="[Budget].[Account_ID].[All]" allUniqueName="[Budget].[Account_ID].[All]" dimensionUniqueName="[Budget]" displayFolder="" count="0" memberValueDatatype="130" unbalanced="0"/>
    <cacheHierarchy uniqueName="[Budget].[AccountClass]" caption="AccountClass" attribute="1" defaultMemberUniqueName="[Budget].[AccountClass].[All]" allUniqueName="[Budget].[AccountClass].[All]" dimensionUniqueName="[Budget]" displayFolder="" count="0" memberValueDatatype="130" unbalanced="0"/>
    <cacheHierarchy uniqueName="[Budget].[Date]" caption="Date" attribute="1" time="1" defaultMemberUniqueName="[Budget].[Date].[All]" allUniqueName="[Budget].[Date].[All]" dimensionUniqueName="[Budget]" displayFolder="" count="0" memberValueDatatype="7" unbalanced="0"/>
    <cacheHierarchy uniqueName="[Budget].[Month]" caption="Month" attribute="1" defaultMemberUniqueName="[Budget].[Month].[All]" allUniqueName="[Budget].[Month].[All]" dimensionUniqueName="[Budget]" displayFolder="" count="0" memberValueDatatype="130" unbalanced="0"/>
    <cacheHierarchy uniqueName="[Budget].[NetAmount_GC]" caption="NetAmount_GC" attribute="1" defaultMemberUniqueName="[Budget].[NetAmount_GC].[All]" allUniqueName="[Budget].[NetAmount_GC].[All]" dimensionUniqueName="[Budget]" displayFolder="" count="0" memberValueDatatype="5" unbalanced="0"/>
    <cacheHierarchy uniqueName="[Budget].[NetAmount_LC]" caption="NetAmount_LC" attribute="1" defaultMemberUniqueName="[Budget].[NetAmount_LC].[All]" allUniqueName="[Budget].[NetAmount_LC].[All]" dimensionUniqueName="[Budget]" displayFolder="" count="0" memberValueDatatype="5" unbalanced="0"/>
    <cacheHierarchy uniqueName="[Budget].[Organisation_ID]" caption="Organisation_ID" attribute="1" defaultMemberUniqueName="[Budget].[Organisation_ID].[All]" allUniqueName="[Budget].[Organisation_ID].[All]" dimensionUniqueName="[Budget]" displayFolder="" count="0" memberValueDatatype="130" unbalanced="0"/>
    <cacheHierarchy uniqueName="[Budget].[Scenario]" caption="Scenario" attribute="1" defaultMemberUniqueName="[Budget].[Scenario].[All]" allUniqueName="[Budget].[Scenario].[All]" dimensionUniqueName="[Budget]" displayFolder="" count="0" memberValueDatatype="130" unbalanced="0"/>
    <cacheHierarchy uniqueName="[Budget].[Years]" caption="Years" attribute="1" defaultMemberUniqueName="[Budget].[Years].[All]" allUniqueName="[Budget].[Years].[All]" dimensionUniqueName="[Budget]" displayFolder="" count="0" memberValueDatatype="130" unbalanced="0"/>
    <cacheHierarchy uniqueName="[Calendar].[Date]" caption="Date" attribute="1" time="1" defaultMemberUniqueName="[Calendar].[Date].[All]" allUniqueName="[Calendar].[Date].[All]" dimensionUniqueName="[Calendar]" displayFolder="" count="0" memberValueDatatype="7" unbalanced="0"/>
    <cacheHierarchy uniqueName="[Calendar].[Day]" caption="Day" attribute="1" defaultMemberUniqueName="[Calendar].[Day].[All]" allUniqueName="[Calendar].[Day].[All]" dimensionUniqueName="[Calendar]" displayFolder="" count="0" memberValueDatatype="20" unbalanced="0"/>
    <cacheHierarchy uniqueName="[Calendar].[DayOfWeek]" caption="DayOfWeek" attribute="1" defaultMemberUniqueName="[Calendar].[DayOfWeek].[All]" allUniqueName="[Calendar].[DayOfWeek].[All]" dimensionUniqueName="[Calendar]" displayFolder="" count="0" memberValueDatatype="130" unbalanced="0"/>
    <cacheHierarchy uniqueName="[Calendar].[DayOfWeekAbr]" caption="DayOfWeekAbr" attribute="1" defaultMemberUniqueName="[Calendar].[DayOfWeekAbr].[All]" allUniqueName="[Calendar].[DayOfWeekAbr].[All]" dimensionUniqueName="[Calendar]" displayFolder="" count="0" memberValueDatatype="130" unbalanced="0"/>
    <cacheHierarchy uniqueName="[Calendar].[DayOfYear]" caption="DayOfYear" attribute="1" defaultMemberUniqueName="[Calendar].[DayOfYear].[All]" allUniqueName="[Calendar].[DayOfYear].[All]" dimensionUniqueName="[Calendar]" displayFolder="" count="0" memberValueDatatype="20" unbalanced="0"/>
    <cacheHierarchy uniqueName="[Calendar].[FinancialMonth]" caption="FinancialMonth" attribute="1" defaultMemberUniqueName="[Calendar].[FinancialMonth].[All]" allUniqueName="[Calendar].[FinancialMonth].[All]" dimensionUniqueName="[Calendar]" displayFolder="" count="0" memberValueDatatype="20" unbalanced="0"/>
    <cacheHierarchy uniqueName="[Calendar].[FinancialQuarter]" caption="FinancialQuarter" attribute="1" defaultMemberUniqueName="[Calendar].[FinancialQuarter].[All]" allUniqueName="[Calendar].[FinancialQuarter].[All]" dimensionUniqueName="[Calendar]" displayFolder="" count="0" memberValueDatatype="130" unbalanced="0"/>
    <cacheHierarchy uniqueName="[Calendar].[FinancialYear]" caption="FinancialYear" attribute="1" defaultMemberUniqueName="[Calendar].[FinancialYear].[All]" allUniqueName="[Calendar].[FinancialYear].[All]" dimensionUniqueName="[Calendar]" displayFolder="" count="0" memberValueDatatype="130" unbalanced="0"/>
    <cacheHierarchy uniqueName="[Calendar].[Month]" caption="Month" attribute="1" defaultMemberUniqueName="[Calendar].[Month].[All]" allUniqueName="[Calendar].[Month].[All]" dimensionUniqueName="[Calendar]" displayFolder="" count="0" memberValueDatatype="20" unbalanced="0"/>
    <cacheHierarchy uniqueName="[Calendar].[MonthEndDate]" caption="MonthEndDate" attribute="1" time="1" defaultMemberUniqueName="[Calendar].[MonthEndDate].[All]" allUniqueName="[Calendar].[MonthEndDate].[All]" dimensionUniqueName="[Calendar]" displayFolder="" count="0" memberValueDatatype="7" unbalanced="0"/>
    <cacheHierarchy uniqueName="[Calendar].[MonthName]" caption="MonthName" attribute="1" defaultMemberUniqueName="[Calendar].[MonthName].[All]" allUniqueName="[Calendar].[MonthName].[All]" dimensionUniqueName="[Calendar]" displayFolder="" count="0" memberValueDatatype="130" unbalanced="0"/>
    <cacheHierarchy uniqueName="[Calendar].[MonthNameAbr]" caption="MonthNameAbr" attribute="1" defaultMemberUniqueName="[Calendar].[MonthNameAbr].[All]" allUniqueName="[Calendar].[MonthNameAbr].[All]" dimensionUniqueName="[Calendar]" displayFolder="" count="0" memberValueDatatype="130" unbalanced="0"/>
    <cacheHierarchy uniqueName="[Calendar].[Quarter]" caption="Quarter" attribute="1" defaultMemberUniqueName="[Calendar].[Quarter].[All]" allUniqueName="[Calendar].[Quarter].[All]" dimensionUniqueName="[Calendar]" displayFolder="" count="0" memberValueDatatype="20" unbalanced="0"/>
    <cacheHierarchy uniqueName="[Calendar].[WeekOfYear]" caption="WeekOfYear" attribute="1" defaultMemberUniqueName="[Calendar].[WeekOfYear].[All]" allUniqueName="[Calendar].[WeekOfYear].[All]" dimensionUniqueName="[Calendar]" displayFolder="" count="0" memberValueDatatype="20" unbalanced="0"/>
    <cacheHierarchy uniqueName="[Calendar].[Year]" caption="Year" attribute="1" defaultMemberUniqueName="[Calendar].[Year].[All]" allUniqueName="[Calendar].[Year].[All]" dimensionUniqueName="[Calendar]" displayFolder="" count="0" memberValueDatatype="130" unbalanced="0"/>
    <cacheHierarchy uniqueName="[Calendar].[Year_Month]" caption="Year_Month" attribute="1" time="1" defaultMemberUniqueName="[Calendar].[Year_Month].[All]" allUniqueName="[Calendar].[Year_Month].[All]" dimensionUniqueName="[Calendar]" displayFolder="" count="0" memberValueDatatype="7" unbalanced="0"/>
    <cacheHierarchy uniqueName="[Calendar].[YearEndDate]" caption="YearEndDate" attribute="1" time="1" defaultMemberUniqueName="[Calendar].[YearEndDate].[All]" allUniqueName="[Calendar].[YearEndDate].[All]" dimensionUniqueName="[Calendar]" displayFolder="" count="0" memberValueDatatype="7" unbalanced="0"/>
    <cacheHierarchy uniqueName="[Calendar].[YearStartDate]" caption="YearStartDate" attribute="1" time="1" defaultMemberUniqueName="[Calendar].[YearStartDate].[All]" allUniqueName="[Calendar].[YearStartDate].[All]" dimensionUniqueName="[Calendar]" displayFolder="" count="0" memberValueDatatype="7" unbalanced="0"/>
    <cacheHierarchy uniqueName="[Closing Date].[ClosingDate]" caption="ClosingDate" attribute="1" time="1" defaultMemberUniqueName="[Closing Date].[ClosingDate].[All]" allUniqueName="[Closing Date].[ClosingDate].[All]" dimensionUniqueName="[Closing Date]" displayFolder="" count="0" memberValueDatatype="7" unbalanced="0"/>
    <cacheHierarchy uniqueName="[Closing Date].[Date]" caption="Date" attribute="1" time="1" defaultMemberUniqueName="[Closing Date].[Date].[All]" allUniqueName="[Closing Date].[Date].[All]" dimensionUniqueName="[Closing Date]" displayFolder="" count="0" memberValueDatatype="7" unbalanced="0"/>
    <cacheHierarchy uniqueName="[Closing Date].[Year]" caption="Year" attribute="1" defaultMemberUniqueName="[Closing Date].[Year].[All]" allUniqueName="[Closing Date].[Year].[All]" dimensionUniqueName="[Closing Date]" displayFolder="" count="0" memberValueDatatype="20" unbalanced="0"/>
    <cacheHierarchy uniqueName="[Closing Date].[Year_Month]" caption="Year_Month" attribute="1" time="1" defaultMemberUniqueName="[Closing Date].[Year_Month].[All]" allUniqueName="[Closing Date].[Year_Month].[All]" dimensionUniqueName="[Closing Date]" displayFolder="" count="0" memberValueDatatype="7" unbalanced="0"/>
    <cacheHierarchy uniqueName="[Organisation].[Address Line 1]" caption="Address Line 1" attribute="1" defaultMemberUniqueName="[Organisation].[Address Line 1].[All]" allUniqueName="[Organisation].[Address Line 1].[All]" dimensionUniqueName="[Organisation]" displayFolder="" count="0" memberValueDatatype="130" unbalanced="0"/>
    <cacheHierarchy uniqueName="[Organisation].[AddressLine2]" caption="AddressLine2" attribute="1" defaultMemberUniqueName="[Organisation].[AddressLine2].[All]" allUniqueName="[Organisation].[AddressLine2].[All]" dimensionUniqueName="[Organisation]" displayFolder="" count="0" memberValueDatatype="130" unbalanced="0"/>
    <cacheHierarchy uniqueName="[Organisation].[AddressLine3]" caption="AddressLine3" attribute="1" defaultMemberUniqueName="[Organisation].[AddressLine3].[All]" allUniqueName="[Organisation].[AddressLine3].[All]" dimensionUniqueName="[Organisation]" displayFolder="" count="0" memberValueDatatype="130" unbalanced="0"/>
    <cacheHierarchy uniqueName="[Organisation].[AddressType]" caption="AddressType" attribute="1" defaultMemberUniqueName="[Organisation].[AddressType].[All]" allUniqueName="[Organisation].[AddressType].[All]" dimensionUniqueName="[Organisation]" displayFolder="" count="0" memberValueDatatype="130" unbalanced="0"/>
    <cacheHierarchy uniqueName="[Organisation].[BaseCurrency]" caption="BaseCurrency" attribute="1" defaultMemberUniqueName="[Organisation].[BaseCurrency].[All]" allUniqueName="[Organisation].[BaseCurrency].[All]" dimensionUniqueName="[Organisation]" displayFolder="" count="0" memberValueDatatype="130" unbalanced="0"/>
    <cacheHierarchy uniqueName="[Organisation].[City]" caption="City" attribute="1" defaultMemberUniqueName="[Organisation].[City].[All]" allUniqueName="[Organisation].[City].[All]" dimensionUniqueName="[Organisation]" displayFolder="" count="0" memberValueDatatype="130" unbalanced="0"/>
    <cacheHierarchy uniqueName="[Organisation].[CountryCode]" caption="CountryCode" attribute="1" defaultMemberUniqueName="[Organisation].[CountryCode].[All]" allUniqueName="[Organisation].[CountryCode].[All]" dimensionUniqueName="[Organisation]" displayFolder="" count="0" memberValueDatatype="130" unbalanced="0"/>
    <cacheHierarchy uniqueName="[Organisation].[CreatedDate]" caption="CreatedDate" attribute="1" time="1" defaultMemberUniqueName="[Organisation].[CreatedDate].[All]" allUniqueName="[Organisation].[CreatedDate].[All]" dimensionUniqueName="[Organisation]" displayFolder="" count="0" memberValueDatatype="7" unbalanced="0"/>
    <cacheHierarchy uniqueName="[Organisation].[CreatedDateUTC]" caption="CreatedDateUTC" attribute="1" time="1" defaultMemberUniqueName="[Organisation].[CreatedDateUTC].[All]" allUniqueName="[Organisation].[CreatedDateUTC].[All]" dimensionUniqueName="[Organisation]" displayFolder="" count="0" memberValueDatatype="7" unbalanced="0"/>
    <cacheHierarchy uniqueName="[Organisation].[DefaultPurchasesTax]" caption="DefaultPurchasesTax" attribute="1" defaultMemberUniqueName="[Organisation].[DefaultPurchasesTax].[All]" allUniqueName="[Organisation].[DefaultPurchasesTax].[All]" dimensionUniqueName="[Organisation]" displayFolder="" count="0" memberValueDatatype="130" unbalanced="0"/>
    <cacheHierarchy uniqueName="[Organisation].[DefaultSalesTax]" caption="DefaultSalesTax" attribute="1" defaultMemberUniqueName="[Organisation].[DefaultSalesTax].[All]" allUniqueName="[Organisation].[DefaultSalesTax].[All]" dimensionUniqueName="[Organisation]" displayFolder="" count="0" memberValueDatatype="130" unbalanced="0"/>
    <cacheHierarchy uniqueName="[Organisation].[EndOfYearLockDate]" caption="EndOfYearLockDate" attribute="1" defaultMemberUniqueName="[Organisation].[EndOfYearLockDate].[All]" allUniqueName="[Organisation].[EndOfYearLockDate].[All]" dimensionUniqueName="[Organisation]" displayFolder="" count="0" memberValueDatatype="130" unbalanced="0"/>
    <cacheHierarchy uniqueName="[Organisation].[FinancialYearEndDay]" caption="FinancialYearEndDay" attribute="1" defaultMemberUniqueName="[Organisation].[FinancialYearEndDay].[All]" allUniqueName="[Organisation].[FinancialYearEndDay].[All]" dimensionUniqueName="[Organisation]" displayFolder="" count="0" memberValueDatatype="20" unbalanced="0"/>
    <cacheHierarchy uniqueName="[Organisation].[FinancialYearEndMonth]" caption="FinancialYearEndMonth" attribute="1" defaultMemberUniqueName="[Organisation].[FinancialYearEndMonth].[All]" allUniqueName="[Organisation].[FinancialYearEndMonth].[All]" dimensionUniqueName="[Organisation]" displayFolder="" count="0" memberValueDatatype="20" unbalanced="0"/>
    <cacheHierarchy uniqueName="[Organisation].[LegalName]" caption="LegalName" attribute="1" defaultMemberUniqueName="[Organisation].[LegalName].[All]" allUniqueName="[Organisation].[LegalName].[All]" dimensionUniqueName="[Organisation]" displayFolder="" count="2" memberValueDatatype="130" unbalanced="0">
      <fieldsUsage count="2">
        <fieldUsage x="-1"/>
        <fieldUsage x="5"/>
      </fieldsUsage>
    </cacheHierarchy>
    <cacheHierarchy uniqueName="[Organisation].[LineOfBusiness]" caption="LineOfBusiness" attribute="1" defaultMemberUniqueName="[Organisation].[LineOfBusiness].[All]" allUniqueName="[Organisation].[LineOfBusiness].[All]" dimensionUniqueName="[Organisation]" displayFolder="" count="0" memberValueDatatype="130" unbalanced="0"/>
    <cacheHierarchy uniqueName="[Organisation].[Organisation Name]" caption="Organisation Name" attribute="1" defaultMemberUniqueName="[Organisation].[Organisation Name].[All]" allUniqueName="[Organisation].[Organisation Name].[All]" dimensionUniqueName="[Organisation]" displayFolder="" count="0" memberValueDatatype="130" unbalanced="0"/>
    <cacheHierarchy uniqueName="[Organisation].[Organisation_ID]" caption="Organisation_ID" attribute="1" defaultMemberUniqueName="[Organisation].[Organisation_ID].[All]" allUniqueName="[Organisation].[Organisation_ID].[All]" dimensionUniqueName="[Organisation]" displayFolder="" count="0" memberValueDatatype="20" unbalanced="0"/>
    <cacheHierarchy uniqueName="[Organisation].[OrganisationEntityType]" caption="OrganisationEntityType" attribute="1" defaultMemberUniqueName="[Organisation].[OrganisationEntityType].[All]" allUniqueName="[Organisation].[OrganisationEntityType].[All]" dimensionUniqueName="[Organisation]" displayFolder="" count="0" memberValueDatatype="130" unbalanced="0"/>
    <cacheHierarchy uniqueName="[Organisation].[OrgStatus]" caption="OrgStatus" attribute="1" defaultMemberUniqueName="[Organisation].[OrgStatus].[All]" allUniqueName="[Organisation].[OrgStatus].[All]" dimensionUniqueName="[Organisation]" displayFolder="" count="0" memberValueDatatype="11" unbalanced="0"/>
    <cacheHierarchy uniqueName="[Organisation].[OrgType]" caption="OrgType" attribute="1" defaultMemberUniqueName="[Organisation].[OrgType].[All]" allUniqueName="[Organisation].[OrgType].[All]" dimensionUniqueName="[Organisation]" displayFolder="" count="0" memberValueDatatype="130" unbalanced="0"/>
    <cacheHierarchy uniqueName="[Organisation].[Ownership]" caption="Ownership" attribute="1" defaultMemberUniqueName="[Organisation].[Ownership].[All]" allUniqueName="[Organisation].[Ownership].[All]" dimensionUniqueName="[Organisation]" displayFolder="" count="0" memberValueDatatype="130" unbalanced="0"/>
    <cacheHierarchy uniqueName="[Organisation].[Parent]" caption="Parent" attribute="1" defaultMemberUniqueName="[Organisation].[Parent].[All]" allUniqueName="[Organisation].[Parent].[All]" dimensionUniqueName="[Organisation]" displayFolder="" count="0" memberValueDatatype="130" unbalanced="0"/>
    <cacheHierarchy uniqueName="[Organisation].[PaymentTermSaleType]" caption="PaymentTermSaleType" attribute="1" defaultMemberUniqueName="[Organisation].[PaymentTermSaleType].[All]" allUniqueName="[Organisation].[PaymentTermSaleType].[All]" dimensionUniqueName="[Organisation]" displayFolder="" count="0" memberValueDatatype="130" unbalanced="0"/>
    <cacheHierarchy uniqueName="[Organisation].[PaymentTermsBillDay]" caption="PaymentTermsBillDay" attribute="1" defaultMemberUniqueName="[Organisation].[PaymentTermsBillDay].[All]" allUniqueName="[Organisation].[PaymentTermsBillDay].[All]" dimensionUniqueName="[Organisation]" displayFolder="" count="0" memberValueDatatype="20" unbalanced="0"/>
    <cacheHierarchy uniqueName="[Organisation].[PaymentTermsBillType]" caption="PaymentTermsBillType" attribute="1" defaultMemberUniqueName="[Organisation].[PaymentTermsBillType].[All]" allUniqueName="[Organisation].[PaymentTermsBillType].[All]" dimensionUniqueName="[Organisation]" displayFolder="" count="0" memberValueDatatype="130" unbalanced="0"/>
    <cacheHierarchy uniqueName="[Organisation].[PaymentTermsSaleDay]" caption="PaymentTermsSaleDay" attribute="1" defaultMemberUniqueName="[Organisation].[PaymentTermsSaleDay].[All]" allUniqueName="[Organisation].[PaymentTermsSaleDay].[All]" dimensionUniqueName="[Organisation]" displayFolder="" count="0" memberValueDatatype="20" unbalanced="0"/>
    <cacheHierarchy uniqueName="[Organisation].[PaysTax]" caption="PaysTax" attribute="1" defaultMemberUniqueName="[Organisation].[PaysTax].[All]" allUniqueName="[Organisation].[PaysTax].[All]" dimensionUniqueName="[Organisation]" displayFolder="" count="0" memberValueDatatype="11" unbalanced="0"/>
    <cacheHierarchy uniqueName="[Organisation].[PeriodLockDate]" caption="PeriodLockDate" attribute="1" time="1" defaultMemberUniqueName="[Organisation].[PeriodLockDate].[All]" allUniqueName="[Organisation].[PeriodLockDate].[All]" dimensionUniqueName="[Organisation]" displayFolder="" count="0" memberValueDatatype="7" unbalanced="0"/>
    <cacheHierarchy uniqueName="[Organisation].[PhoneAreaCode]" caption="PhoneAreaCode" attribute="1" defaultMemberUniqueName="[Organisation].[PhoneAreaCode].[All]" allUniqueName="[Organisation].[PhoneAreaCode].[All]" dimensionUniqueName="[Organisation]" displayFolder="" count="0" memberValueDatatype="20" unbalanced="0"/>
    <cacheHierarchy uniqueName="[Organisation].[PhoneCountryCode]" caption="PhoneCountryCode" attribute="1" defaultMemberUniqueName="[Organisation].[PhoneCountryCode].[All]" allUniqueName="[Organisation].[PhoneCountryCode].[All]" dimensionUniqueName="[Organisation]" displayFolder="" count="0" memberValueDatatype="130" unbalanced="0"/>
    <cacheHierarchy uniqueName="[Organisation].[PhoneNumber]" caption="PhoneNumber" attribute="1" defaultMemberUniqueName="[Organisation].[PhoneNumber].[All]" allUniqueName="[Organisation].[PhoneNumber].[All]" dimensionUniqueName="[Organisation]" displayFolder="" count="0" memberValueDatatype="130" unbalanced="0"/>
    <cacheHierarchy uniqueName="[Organisation].[PhoneType]" caption="PhoneType" attribute="1" defaultMemberUniqueName="[Organisation].[PhoneType].[All]" allUniqueName="[Organisation].[PhoneType].[All]" dimensionUniqueName="[Organisation]" displayFolder="" count="0" memberValueDatatype="130" unbalanced="0"/>
    <cacheHierarchy uniqueName="[Organisation].[PostalCode]" caption="PostalCode" attribute="1" defaultMemberUniqueName="[Organisation].[PostalCode].[All]" allUniqueName="[Organisation].[PostalCode].[All]" dimensionUniqueName="[Organisation]" displayFolder="" count="0" memberValueDatatype="130" unbalanced="0"/>
    <cacheHierarchy uniqueName="[Organisation].[RegistrationNumber]" caption="RegistrationNumber" attribute="1" defaultMemberUniqueName="[Organisation].[RegistrationNumber].[All]" allUniqueName="[Organisation].[RegistrationNumber].[All]" dimensionUniqueName="[Organisation]" displayFolder="" count="0" memberValueDatatype="20" unbalanced="0"/>
    <cacheHierarchy uniqueName="[Organisation].[SalesTaxBasisType]" caption="SalesTaxBasisType" attribute="1" defaultMemberUniqueName="[Organisation].[SalesTaxBasisType].[All]" allUniqueName="[Organisation].[SalesTaxBasisType].[All]" dimensionUniqueName="[Organisation]" displayFolder="" count="0" memberValueDatatype="130" unbalanced="0"/>
    <cacheHierarchy uniqueName="[Organisation].[SalestaxPeriod]" caption="SalestaxPeriod" attribute="1" defaultMemberUniqueName="[Organisation].[SalestaxPeriod].[All]" allUniqueName="[Organisation].[SalestaxPeriod].[All]" dimensionUniqueName="[Organisation]" displayFolder="" count="0" memberValueDatatype="130" unbalanced="0"/>
    <cacheHierarchy uniqueName="[Organisation].[TaxNumber]" caption="TaxNumber" attribute="1" defaultMemberUniqueName="[Organisation].[TaxNumber].[All]" allUniqueName="[Organisation].[TaxNumber].[All]" dimensionUniqueName="[Organisation]" displayFolder="" count="0" memberValueDatatype="130" unbalanced="0"/>
    <cacheHierarchy uniqueName="[Organisation].[Timezone]" caption="Timezone" attribute="1" defaultMemberUniqueName="[Organisation].[Timezone].[All]" allUniqueName="[Organisation].[Timezone].[All]" dimensionUniqueName="[Organisation]" displayFolder="" count="0" memberValueDatatype="130" unbalanced="0"/>
    <cacheHierarchy uniqueName="[Organisation].[Version]" caption="Version" attribute="1" defaultMemberUniqueName="[Organisation].[Version].[All]" allUniqueName="[Organisation].[Version].[All]" dimensionUniqueName="[Organisation]" displayFolder="" count="0" memberValueDatatype="130" unbalanced="0"/>
    <cacheHierarchy uniqueName="[Report Structure].[CalcType]" caption="CalcType" attribute="1" defaultMemberUniqueName="[Report Structure].[CalcType].[All]" allUniqueName="[Report Structure].[CalcType].[All]" dimensionUniqueName="[Report Structure]" displayFolder="" count="0" memberValueDatatype="130" unbalanced="0"/>
    <cacheHierarchy uniqueName="[Report Structure].[Header]" caption="Header" attribute="1" defaultMemberUniqueName="[Report Structure].[Header].[All]" allUniqueName="[Report Structure].[Header].[All]" dimensionUniqueName="[Report Structure]" displayFolder="" count="0" memberValueDatatype="130" unbalanced="0"/>
    <cacheHierarchy uniqueName="[Report Structure].[Order]" caption="Order" attribute="1" defaultMemberUniqueName="[Report Structure].[Order].[All]" allUniqueName="[Report Structure].[Order].[All]" dimensionUniqueName="[Report Structure]" displayFolder="" count="0" memberValueDatatype="20" unbalanced="0"/>
    <cacheHierarchy uniqueName="[Report Structure].[Statement]" caption="Statement" attribute="1" defaultMemberUniqueName="[Report Structure].[Statement].[All]" allUniqueName="[Report Structure].[Statement].[All]" dimensionUniqueName="[Report Structure]" displayFolder="" count="0" memberValueDatatype="130" unbalanced="0"/>
    <cacheHierarchy uniqueName="[Scenario].[Scenario]" caption="Scenario" attribute="1" defaultMemberUniqueName="[Scenario].[Scenario].[All]" allUniqueName="[Scenario].[Scenario].[All]" dimensionUniqueName="[Scenario]" displayFolder="" count="0" memberValueDatatype="130" unbalanced="0"/>
    <cacheHierarchy uniqueName="[Transactions].[Account_ID]" caption="Account_ID" attribute="1" defaultMemberUniqueName="[Transactions].[Account_ID].[All]" allUniqueName="[Transactions].[Account_ID].[All]" dimensionUniqueName="[Transactions]" displayFolder="" count="0" memberValueDatatype="130" unbalanced="0"/>
    <cacheHierarchy uniqueName="[Transactions].[AccountClass]" caption="AccountClass" attribute="1" defaultMemberUniqueName="[Transactions].[AccountClass].[All]" allUniqueName="[Transactions].[AccountClass].[All]" dimensionUniqueName="[Transactions]" displayFolder="" count="0" memberValueDatatype="130" unbalanced="0"/>
    <cacheHierarchy uniqueName="[Transactions].[AccountCode]" caption="AccountCode" attribute="1" defaultMemberUniqueName="[Transactions].[AccountCode].[All]" allUniqueName="[Transactions].[AccountCode].[All]" dimensionUniqueName="[Transactions]" displayFolder="" count="0" memberValueDatatype="20" unbalanced="0"/>
    <cacheHierarchy uniqueName="[Transactions].[Balance]" caption="Balance" attribute="1" defaultMemberUniqueName="[Transactions].[Balance].[All]" allUniqueName="[Transactions].[Balance].[All]" dimensionUniqueName="[Transactions]" displayFolder="" count="0" memberValueDatatype="5" unbalanced="0"/>
    <cacheHierarchy uniqueName="[Transactions].[BaseCurrency]" caption="BaseCurrency" attribute="1" defaultMemberUniqueName="[Transactions].[BaseCurrency].[All]" allUniqueName="[Transactions].[BaseCurrency].[All]" dimensionUniqueName="[Transactions]" displayFolder="" count="0" memberValueDatatype="130" unbalanced="0"/>
    <cacheHierarchy uniqueName="[Transactions].[CreatedOrUpdatedDateUTC]" caption="CreatedOrUpdatedDateUTC" attribute="1" time="1" defaultMemberUniqueName="[Transactions].[CreatedOrUpdatedDateUTC].[All]" allUniqueName="[Transactions].[CreatedOrUpdatedDateUTC].[All]" dimensionUniqueName="[Transactions]" displayFolder="" count="0" memberValueDatatype="7" unbalanced="0"/>
    <cacheHierarchy uniqueName="[Transactions].[Date]" caption="Date" attribute="1" time="1" defaultMemberUniqueName="[Transactions].[Date].[All]" allUniqueName="[Transactions].[Date].[All]" dimensionUniqueName="[Transactions]" displayFolder="" count="0" memberValueDatatype="7" unbalanced="0"/>
    <cacheHierarchy uniqueName="[Transactions].[GrossAmt_GC]" caption="GrossAmt_GC" attribute="1" defaultMemberUniqueName="[Transactions].[GrossAmt_GC].[All]" allUniqueName="[Transactions].[GrossAmt_GC].[All]" dimensionUniqueName="[Transactions]" displayFolder="" count="0" memberValueDatatype="5" unbalanced="0"/>
    <cacheHierarchy uniqueName="[Transactions].[GrossAmt_LC]" caption="GrossAmt_LC" attribute="1" defaultMemberUniqueName="[Transactions].[GrossAmt_LC].[All]" allUniqueName="[Transactions].[GrossAmt_LC].[All]" dimensionUniqueName="[Transactions]" displayFolder="" count="0" memberValueDatatype="5" unbalanced="0"/>
    <cacheHierarchy uniqueName="[Transactions].[Group_FXRate]" caption="Group_FXRate" attribute="1" defaultMemberUniqueName="[Transactions].[Group_FXRate].[All]" allUniqueName="[Transactions].[Group_FXRate].[All]" dimensionUniqueName="[Transactions]" displayFolder="" count="0" memberValueDatatype="20" unbalanced="0"/>
    <cacheHierarchy uniqueName="[Transactions].[JID]" caption="JID" attribute="1" defaultMemberUniqueName="[Transactions].[JID].[All]" allUniqueName="[Transactions].[JID].[All]" dimensionUniqueName="[Transactions]" displayFolder="" count="0" memberValueDatatype="130" unbalanced="0"/>
    <cacheHierarchy uniqueName="[Transactions].[Month]" caption="Month" attribute="1" defaultMemberUniqueName="[Transactions].[Month].[All]" allUniqueName="[Transactions].[Month].[All]" dimensionUniqueName="[Transactions]" displayFolder="" count="0" memberValueDatatype="130" unbalanced="0"/>
    <cacheHierarchy uniqueName="[Transactions].[Months]" caption="Months" attribute="1" defaultMemberUniqueName="[Transactions].[Months].[All]" allUniqueName="[Transactions].[Months].[All]" dimensionUniqueName="[Transactions]" displayFolder="" count="0" memberValueDatatype="130" unbalanced="0"/>
    <cacheHierarchy uniqueName="[Transactions].[NetAmount_GC]" caption="NetAmount_GC" attribute="1" defaultMemberUniqueName="[Transactions].[NetAmount_GC].[All]" allUniqueName="[Transactions].[NetAmount_GC].[All]" dimensionUniqueName="[Transactions]" displayFolder="" count="0" memberValueDatatype="5" unbalanced="0"/>
    <cacheHierarchy uniqueName="[Transactions].[NetAmount_LC]" caption="NetAmount_LC" attribute="1" defaultMemberUniqueName="[Transactions].[NetAmount_LC].[All]" allUniqueName="[Transactions].[NetAmount_LC].[All]" dimensionUniqueName="[Transactions]" displayFolder="" count="0" memberValueDatatype="5" unbalanced="0"/>
    <cacheHierarchy uniqueName="[Transactions].[Organisation_ID]" caption="Organisation_ID" attribute="1" defaultMemberUniqueName="[Transactions].[Organisation_ID].[All]" allUniqueName="[Transactions].[Organisation_ID].[All]" dimensionUniqueName="[Transactions]" displayFolder="" count="0" memberValueDatatype="130" unbalanced="0"/>
    <cacheHierarchy uniqueName="[Transactions].[Reference]" caption="Reference" attribute="1" defaultMemberUniqueName="[Transactions].[Reference].[All]" allUniqueName="[Transactions].[Reference].[All]" dimensionUniqueName="[Transactions]" displayFolder="" count="0" memberValueDatatype="130" unbalanced="0"/>
    <cacheHierarchy uniqueName="[Transactions].[Scenario]" caption="Scenario" attribute="1" defaultMemberUniqueName="[Transactions].[Scenario].[All]" allUniqueName="[Transactions].[Scenario].[All]" dimensionUniqueName="[Transactions]" displayFolder="" count="0" memberValueDatatype="130" unbalanced="0"/>
    <cacheHierarchy uniqueName="[Transactions].[TaxName]" caption="TaxName" attribute="1" defaultMemberUniqueName="[Transactions].[TaxName].[All]" allUniqueName="[Transactions].[TaxName].[All]" dimensionUniqueName="[Transactions]" displayFolder="" count="0" memberValueDatatype="130" unbalanced="0"/>
    <cacheHierarchy uniqueName="[Transactions].[TaxType]" caption="TaxType" attribute="1" defaultMemberUniqueName="[Transactions].[TaxType].[All]" allUniqueName="[Transactions].[TaxType].[All]" dimensionUniqueName="[Transactions]" displayFolder="" count="0" memberValueDatatype="130" unbalanced="0"/>
    <cacheHierarchy uniqueName="[Transactions].[Years]" caption="Years" attribute="1" defaultMemberUniqueName="[Transactions].[Years].[All]" allUniqueName="[Transactions].[Years].[All]" dimensionUniqueName="[Transactions]" displayFolder="" count="0" memberValueDatatype="130" unbalanced="0"/>
    <cacheHierarchy uniqueName="[Measures].[Filtered]" caption="Filtered" measure="1" displayFolder="" measureGroup="Accounts" count="0"/>
    <cacheHierarchy uniqueName="[Measures].[Total Revenue]" caption="Total Revenue" measure="1" displayFolder="" measureGroup="Transactions" count="0"/>
    <cacheHierarchy uniqueName="[Measures].[%Sales]" caption="%Sales" measure="1" displayFolder="" measureGroup="Transactions" count="0"/>
    <cacheHierarchy uniqueName="[Measures].[ACT]" caption="ACT" measure="1" displayFolder="" measureGroup="Transactions" count="0" oneField="1">
      <fieldsUsage count="1">
        <fieldUsage x="2"/>
      </fieldsUsage>
    </cacheHierarchy>
    <cacheHierarchy uniqueName="[Measures].[VAR]" caption="VAR" measure="1" displayFolder="" measureGroup="Transactions" count="0"/>
    <cacheHierarchy uniqueName="[Measures].[VAR %]" caption="VAR %" measure="1" displayFolder="" measureGroup="Transactions" count="0"/>
    <cacheHierarchy uniqueName="[Measures].[PY ACT]" caption="PY ACT" measure="1" displayFolder="" measureGroup="Transactions" count="0"/>
    <cacheHierarchy uniqueName="[Measures].[YTD ACT]" caption="YTD ACT" measure="1" displayFolder="" measureGroup="Transactions" count="0"/>
    <cacheHierarchy uniqueName="[Measures].[Running Total]" caption="Running Total" measure="1" displayFolder="" measureGroup="Transactions" count="0"/>
    <cacheHierarchy uniqueName="[Measures].[Report Value]" caption="Report Value" measure="1" displayFolder="" measureGroup="Transactions" count="0"/>
    <cacheHierarchy uniqueName="[Measures].[Balance sheet]" caption="Balance sheet" measure="1" displayFolder="" measureGroup="Transactions" count="0"/>
    <cacheHierarchy uniqueName="[Measures].[showYear]" caption="showYear" measure="1" displayFolder="" measureGroup="Transactions" count="0"/>
    <cacheHierarchy uniqueName="[Measures].[BUD]" caption="BUD" measure="1" displayFolder="" measureGroup="Transactions" count="0" oneField="1">
      <fieldsUsage count="1">
        <fieldUsage x="3"/>
      </fieldsUsage>
    </cacheHierarchy>
    <cacheHierarchy uniqueName="[Measures].[Asymmetric]" caption="Asymmetric" measure="1" displayFolder="" measureGroup="Transactions" count="0"/>
    <cacheHierarchy uniqueName="[Measures].[Rolling Forecast]" caption="Rolling Forecast" measure="1" displayFolder="" measureGroup="Transactions" count="0"/>
    <cacheHierarchy uniqueName="[Measures].[DAX ACT ex Calender]" caption="DAX ACT ex Calender" measure="1" displayFolder="" measureGroup="Transactions" count="0"/>
    <cacheHierarchy uniqueName="[Measures].[Header Order]" caption="Header Order" measure="1" displayFolder="" measureGroup="Report Structure" count="0"/>
    <cacheHierarchy uniqueName="[Measures].[__Default measure]" caption="__Default measure" measure="1" displayFolder="" count="0" hidden="1"/>
  </cacheHierarchies>
  <kpis count="0"/>
  <dimensions count="10">
    <dimension name="Accounts" uniqueName="[Accounts]" caption="Accounts"/>
    <dimension name="Asymmetric" uniqueName="[Asymmetric]" caption="Asymmetric"/>
    <dimension name="Budget" uniqueName="[Budget]" caption="Budget"/>
    <dimension name="Calendar" uniqueName="[Calendar]" caption="Calendar"/>
    <dimension name="Closing Date" uniqueName="[Closing Date]" caption="Closing Date"/>
    <dimension measure="1" name="Measures" uniqueName="[Measures]" caption="Measures"/>
    <dimension name="Organisation" uniqueName="[Organisation]" caption="Organisation"/>
    <dimension name="Report Structure" uniqueName="[Report Structure]" caption="Report Structure"/>
    <dimension name="Scenario" uniqueName="[Scenario]" caption="Scenario"/>
    <dimension name="Transactions" uniqueName="[Transactions]" caption="Transactions"/>
  </dimensions>
  <measureGroups count="9">
    <measureGroup name="Accounts" caption="Accounts"/>
    <measureGroup name="Asymmetric" caption="Asymmetric"/>
    <measureGroup name="Budget" caption="Budget"/>
    <measureGroup name="Calendar" caption="Calendar"/>
    <measureGroup name="Closing Date" caption="Closing Date"/>
    <measureGroup name="Organisation" caption="Organisation"/>
    <measureGroup name="Report Structure" caption="Report Structure"/>
    <measureGroup name="Scenario" caption="Scenario"/>
    <measureGroup name="Transactions" caption="Transactions"/>
  </measureGroups>
  <maps count="20">
    <map measureGroup="0" dimension="0"/>
    <map measureGroup="0" dimension="7"/>
    <map measureGroup="1" dimension="1"/>
    <map measureGroup="2" dimension="0"/>
    <map measureGroup="2" dimension="2"/>
    <map measureGroup="2" dimension="3"/>
    <map measureGroup="2" dimension="6"/>
    <map measureGroup="2" dimension="7"/>
    <map measureGroup="3" dimension="3"/>
    <map measureGroup="4" dimension="4"/>
    <map measureGroup="5" dimension="6"/>
    <map measureGroup="6" dimension="7"/>
    <map measureGroup="7" dimension="8"/>
    <map measureGroup="8" dimension="0"/>
    <map measureGroup="8" dimension="1"/>
    <map measureGroup="8" dimension="3"/>
    <map measureGroup="8" dimension="6"/>
    <map measureGroup="8" dimension="7"/>
    <map measureGroup="8" dimension="8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Martin Kratky" refreshedDate="45956.37528738426" createdVersion="6" refreshedVersion="8" minRefreshableVersion="3" recordCount="0" supportSubquery="1" supportAdvancedDrill="1" xr:uid="{F45A66A5-FBA8-4DA9-B354-54074CFFFC69}">
  <cacheSource type="external" connectionId="1"/>
  <cacheFields count="2">
    <cacheField name="[Accounts].[Statement].[Statement]" caption="Statement" numFmtId="0" hierarchy="15" level="1">
      <sharedItems containsSemiMixedTypes="0" containsString="0"/>
    </cacheField>
    <cacheField name="[Organisation].[LegalName].[LegalName]" caption="LegalName" numFmtId="0" hierarchy="67" level="1">
      <sharedItems containsSemiMixedTypes="0" containsString="0"/>
    </cacheField>
  </cacheFields>
  <cacheHierarchies count="137">
    <cacheHierarchy uniqueName="[Accounts].[Account key]" caption="Account key" attribute="1" defaultMemberUniqueName="[Accounts].[Account key].[All]" allUniqueName="[Accounts].[Account key].[All]" dimensionUniqueName="[Accounts]" displayFolder="" count="0" memberValueDatatype="130" unbalanced="0"/>
    <cacheHierarchy uniqueName="[Accounts].[Account_ID]" caption="Account_ID" attribute="1" defaultMemberUniqueName="[Accounts].[Account_ID].[All]" allUniqueName="[Accounts].[Account_ID].[All]" dimensionUniqueName="[Accounts]" displayFolder="" count="0" memberValueDatatype="20" unbalanced="0"/>
    <cacheHierarchy uniqueName="[Accounts].[BankAccountNumber]" caption="BankAccountNumber" attribute="1" defaultMemberUniqueName="[Accounts].[BankAccountNumber].[All]" allUniqueName="[Accounts].[BankAccountNumber].[All]" dimensionUniqueName="[Accounts]" displayFolder="" count="0" memberValueDatatype="130" unbalanced="0"/>
    <cacheHierarchy uniqueName="[Accounts].[Cash Flow ]" caption="Cash Flow " attribute="1" defaultMemberUniqueName="[Accounts].[Cash Flow ].[All]" allUniqueName="[Accounts].[Cash Flow ].[All]" dimensionUniqueName="[Accounts]" displayFolder="" count="0" memberValueDatatype="130" unbalanced="0"/>
    <cacheHierarchy uniqueName="[Accounts].[Cash Flow Group]" caption="Cash Flow Group" attribute="1" defaultMemberUniqueName="[Accounts].[Cash Flow Group].[All]" allUniqueName="[Accounts].[Cash Flow Group].[All]" dimensionUniqueName="[Accounts]" displayFolder="" count="0" memberValueDatatype="130" unbalanced="0"/>
    <cacheHierarchy uniqueName="[Accounts].[Class]" caption="Class" attribute="1" defaultMemberUniqueName="[Accounts].[Class].[All]" allUniqueName="[Accounts].[Class].[All]" dimensionUniqueName="[Accounts]" displayFolder="" count="0" memberValueDatatype="130" unbalanced="0"/>
    <cacheHierarchy uniqueName="[Accounts].[Code]" caption="Code" attribute="1" defaultMemberUniqueName="[Accounts].[Code].[All]" allUniqueName="[Accounts].[Code].[All]" dimensionUniqueName="[Accounts]" displayFolder="" count="0" memberValueDatatype="20" unbalanced="0"/>
    <cacheHierarchy uniqueName="[Accounts].[CurrencyCode]" caption="CurrencyCode" attribute="1" defaultMemberUniqueName="[Accounts].[CurrencyCode].[All]" allUniqueName="[Accounts].[CurrencyCode].[All]" dimensionUniqueName="[Accounts]" displayFolder="" count="0" memberValueDatatype="130" unbalanced="0"/>
    <cacheHierarchy uniqueName="[Accounts].[Description]" caption="Description" attribute="1" defaultMemberUniqueName="[Accounts].[Description].[All]" allUniqueName="[Accounts].[Description].[All]" dimensionUniqueName="[Accounts]" displayFolder="" count="0" memberValueDatatype="130" unbalanced="0"/>
    <cacheHierarchy uniqueName="[Accounts].[FX Conversion]" caption="FX Conversion" attribute="1" defaultMemberUniqueName="[Accounts].[FX Conversion].[All]" allUniqueName="[Accounts].[FX Conversion].[All]" dimensionUniqueName="[Accounts]" displayFolder="" count="0" memberValueDatatype="130" unbalanced="0"/>
    <cacheHierarchy uniqueName="[Accounts].[IC]" caption="IC" attribute="1" defaultMemberUniqueName="[Accounts].[IC].[All]" allUniqueName="[Accounts].[IC].[All]" dimensionUniqueName="[Accounts]" displayFolder="" count="0" memberValueDatatype="130" unbalanced="0"/>
    <cacheHierarchy uniqueName="[Accounts].[Name]" caption="Name" attribute="1" defaultMemberUniqueName="[Accounts].[Name].[All]" allUniqueName="[Accounts].[Name].[All]" dimensionUniqueName="[Accounts]" displayFolder="" count="0" memberValueDatatype="130" unbalanced="0"/>
    <cacheHierarchy uniqueName="[Accounts].[OrgName]" caption="OrgName" attribute="1" defaultMemberUniqueName="[Accounts].[OrgName].[All]" allUniqueName="[Accounts].[OrgName].[All]" dimensionUniqueName="[Accounts]" displayFolder="" count="0" memberValueDatatype="130" unbalanced="0"/>
    <cacheHierarchy uniqueName="[Accounts].[ReportingCode]" caption="ReportingCode" attribute="1" defaultMemberUniqueName="[Accounts].[ReportingCode].[All]" allUniqueName="[Accounts].[ReportingCode].[All]" dimensionUniqueName="[Accounts]" displayFolder="" count="0" memberValueDatatype="130" unbalanced="0"/>
    <cacheHierarchy uniqueName="[Accounts].[ReportingCodeName]" caption="ReportingCodeName" attribute="1" defaultMemberUniqueName="[Accounts].[ReportingCodeName].[All]" allUniqueName="[Accounts].[ReportingCodeName].[All]" dimensionUniqueName="[Accounts]" displayFolder="" count="0" memberValueDatatype="130" unbalanced="0"/>
    <cacheHierarchy uniqueName="[Accounts].[Statement]" caption="Statement" attribute="1" defaultMemberUniqueName="[Accounts].[Statement].[All]" allUniqueName="[Accounts].[Statement].[All]" dimensionUniqueName="[Accounts]" displayFolder="" count="2" memberValueDatatype="130" unbalanced="0">
      <fieldsUsage count="2">
        <fieldUsage x="-1"/>
        <fieldUsage x="0"/>
      </fieldsUsage>
    </cacheHierarchy>
    <cacheHierarchy uniqueName="[Accounts].[Status]" caption="Status" attribute="1" defaultMemberUniqueName="[Accounts].[Status].[All]" allUniqueName="[Accounts].[Status].[All]" dimensionUniqueName="[Accounts]" displayFolder="" count="0" memberValueDatatype="130" unbalanced="0"/>
    <cacheHierarchy uniqueName="[Accounts].[Type]" caption="Type" attribute="1" defaultMemberUniqueName="[Accounts].[Type].[All]" allUniqueName="[Accounts].[Type].[All]" dimensionUniqueName="[Accounts]" displayFolder="" count="0" memberValueDatatype="130" unbalanced="0"/>
    <cacheHierarchy uniqueName="[Accounts].[Type Order]" caption="Type Order" attribute="1" defaultMemberUniqueName="[Accounts].[Type Order].[All]" allUniqueName="[Accounts].[Type Order].[All]" dimensionUniqueName="[Accounts]" displayFolder="" count="0" memberValueDatatype="20" unbalanced="0"/>
    <cacheHierarchy uniqueName="[Asymmetric].[Order]" caption="Order" attribute="1" defaultMemberUniqueName="[Asymmetric].[Order].[All]" allUniqueName="[Asymmetric].[Order].[All]" dimensionUniqueName="[Asymmetric]" displayFolder="" count="0" memberValueDatatype="130" unbalanced="0"/>
    <cacheHierarchy uniqueName="[Asymmetric].[Report Year]" caption="Report Year" attribute="1" defaultMemberUniqueName="[Asymmetric].[Report Year].[All]" allUniqueName="[Asymmetric].[Report Year].[All]" dimensionUniqueName="[Asymmetric]" displayFolder="" count="0" memberValueDatatype="130" unbalanced="0"/>
    <cacheHierarchy uniqueName="[Asymmetric].[Scenario]" caption="Scenario" attribute="1" defaultMemberUniqueName="[Asymmetric].[Scenario].[All]" allUniqueName="[Asymmetric].[Scenario].[All]" dimensionUniqueName="[Asymmetric]" displayFolder="" count="0" memberValueDatatype="130" unbalanced="0"/>
    <cacheHierarchy uniqueName="[Budget].[Account_ID]" caption="Account_ID" attribute="1" defaultMemberUniqueName="[Budget].[Account_ID].[All]" allUniqueName="[Budget].[Account_ID].[All]" dimensionUniqueName="[Budget]" displayFolder="" count="0" memberValueDatatype="130" unbalanced="0"/>
    <cacheHierarchy uniqueName="[Budget].[AccountClass]" caption="AccountClass" attribute="1" defaultMemberUniqueName="[Budget].[AccountClass].[All]" allUniqueName="[Budget].[AccountClass].[All]" dimensionUniqueName="[Budget]" displayFolder="" count="0" memberValueDatatype="130" unbalanced="0"/>
    <cacheHierarchy uniqueName="[Budget].[Date]" caption="Date" attribute="1" time="1" defaultMemberUniqueName="[Budget].[Date].[All]" allUniqueName="[Budget].[Date].[All]" dimensionUniqueName="[Budget]" displayFolder="" count="0" memberValueDatatype="7" unbalanced="0"/>
    <cacheHierarchy uniqueName="[Budget].[Month]" caption="Month" attribute="1" defaultMemberUniqueName="[Budget].[Month].[All]" allUniqueName="[Budget].[Month].[All]" dimensionUniqueName="[Budget]" displayFolder="" count="0" memberValueDatatype="130" unbalanced="0"/>
    <cacheHierarchy uniqueName="[Budget].[NetAmount_GC]" caption="NetAmount_GC" attribute="1" defaultMemberUniqueName="[Budget].[NetAmount_GC].[All]" allUniqueName="[Budget].[NetAmount_GC].[All]" dimensionUniqueName="[Budget]" displayFolder="" count="0" memberValueDatatype="5" unbalanced="0"/>
    <cacheHierarchy uniqueName="[Budget].[NetAmount_LC]" caption="NetAmount_LC" attribute="1" defaultMemberUniqueName="[Budget].[NetAmount_LC].[All]" allUniqueName="[Budget].[NetAmount_LC].[All]" dimensionUniqueName="[Budget]" displayFolder="" count="0" memberValueDatatype="5" unbalanced="0"/>
    <cacheHierarchy uniqueName="[Budget].[Organisation_ID]" caption="Organisation_ID" attribute="1" defaultMemberUniqueName="[Budget].[Organisation_ID].[All]" allUniqueName="[Budget].[Organisation_ID].[All]" dimensionUniqueName="[Budget]" displayFolder="" count="0" memberValueDatatype="130" unbalanced="0"/>
    <cacheHierarchy uniqueName="[Budget].[Scenario]" caption="Scenario" attribute="1" defaultMemberUniqueName="[Budget].[Scenario].[All]" allUniqueName="[Budget].[Scenario].[All]" dimensionUniqueName="[Budget]" displayFolder="" count="0" memberValueDatatype="130" unbalanced="0"/>
    <cacheHierarchy uniqueName="[Budget].[Years]" caption="Years" attribute="1" defaultMemberUniqueName="[Budget].[Years].[All]" allUniqueName="[Budget].[Years].[All]" dimensionUniqueName="[Budget]" displayFolder="" count="0" memberValueDatatype="130" unbalanced="0"/>
    <cacheHierarchy uniqueName="[Calendar].[Date]" caption="Date" attribute="1" time="1" defaultMemberUniqueName="[Calendar].[Date].[All]" allUniqueName="[Calendar].[Date].[All]" dimensionUniqueName="[Calendar]" displayFolder="" count="0" memberValueDatatype="7" unbalanced="0"/>
    <cacheHierarchy uniqueName="[Calendar].[Day]" caption="Day" attribute="1" defaultMemberUniqueName="[Calendar].[Day].[All]" allUniqueName="[Calendar].[Day].[All]" dimensionUniqueName="[Calendar]" displayFolder="" count="0" memberValueDatatype="20" unbalanced="0"/>
    <cacheHierarchy uniqueName="[Calendar].[DayOfWeek]" caption="DayOfWeek" attribute="1" defaultMemberUniqueName="[Calendar].[DayOfWeek].[All]" allUniqueName="[Calendar].[DayOfWeek].[All]" dimensionUniqueName="[Calendar]" displayFolder="" count="0" memberValueDatatype="130" unbalanced="0"/>
    <cacheHierarchy uniqueName="[Calendar].[DayOfWeekAbr]" caption="DayOfWeekAbr" attribute="1" defaultMemberUniqueName="[Calendar].[DayOfWeekAbr].[All]" allUniqueName="[Calendar].[DayOfWeekAbr].[All]" dimensionUniqueName="[Calendar]" displayFolder="" count="0" memberValueDatatype="130" unbalanced="0"/>
    <cacheHierarchy uniqueName="[Calendar].[DayOfYear]" caption="DayOfYear" attribute="1" defaultMemberUniqueName="[Calendar].[DayOfYear].[All]" allUniqueName="[Calendar].[DayOfYear].[All]" dimensionUniqueName="[Calendar]" displayFolder="" count="0" memberValueDatatype="20" unbalanced="0"/>
    <cacheHierarchy uniqueName="[Calendar].[FinancialMonth]" caption="FinancialMonth" attribute="1" defaultMemberUniqueName="[Calendar].[FinancialMonth].[All]" allUniqueName="[Calendar].[FinancialMonth].[All]" dimensionUniqueName="[Calendar]" displayFolder="" count="0" memberValueDatatype="20" unbalanced="0"/>
    <cacheHierarchy uniqueName="[Calendar].[FinancialQuarter]" caption="FinancialQuarter" attribute="1" defaultMemberUniqueName="[Calendar].[FinancialQuarter].[All]" allUniqueName="[Calendar].[FinancialQuarter].[All]" dimensionUniqueName="[Calendar]" displayFolder="" count="0" memberValueDatatype="130" unbalanced="0"/>
    <cacheHierarchy uniqueName="[Calendar].[FinancialYear]" caption="FinancialYear" attribute="1" defaultMemberUniqueName="[Calendar].[FinancialYear].[All]" allUniqueName="[Calendar].[FinancialYear].[All]" dimensionUniqueName="[Calendar]" displayFolder="" count="0" memberValueDatatype="130" unbalanced="0"/>
    <cacheHierarchy uniqueName="[Calendar].[Month]" caption="Month" attribute="1" defaultMemberUniqueName="[Calendar].[Month].[All]" allUniqueName="[Calendar].[Month].[All]" dimensionUniqueName="[Calendar]" displayFolder="" count="0" memberValueDatatype="20" unbalanced="0"/>
    <cacheHierarchy uniqueName="[Calendar].[MonthEndDate]" caption="MonthEndDate" attribute="1" time="1" defaultMemberUniqueName="[Calendar].[MonthEndDate].[All]" allUniqueName="[Calendar].[MonthEndDate].[All]" dimensionUniqueName="[Calendar]" displayFolder="" count="0" memberValueDatatype="7" unbalanced="0"/>
    <cacheHierarchy uniqueName="[Calendar].[MonthName]" caption="MonthName" attribute="1" defaultMemberUniqueName="[Calendar].[MonthName].[All]" allUniqueName="[Calendar].[MonthName].[All]" dimensionUniqueName="[Calendar]" displayFolder="" count="0" memberValueDatatype="130" unbalanced="0"/>
    <cacheHierarchy uniqueName="[Calendar].[MonthNameAbr]" caption="MonthNameAbr" attribute="1" defaultMemberUniqueName="[Calendar].[MonthNameAbr].[All]" allUniqueName="[Calendar].[MonthNameAbr].[All]" dimensionUniqueName="[Calendar]" displayFolder="" count="0" memberValueDatatype="130" unbalanced="0"/>
    <cacheHierarchy uniqueName="[Calendar].[Quarter]" caption="Quarter" attribute="1" defaultMemberUniqueName="[Calendar].[Quarter].[All]" allUniqueName="[Calendar].[Quarter].[All]" dimensionUniqueName="[Calendar]" displayFolder="" count="0" memberValueDatatype="20" unbalanced="0"/>
    <cacheHierarchy uniqueName="[Calendar].[WeekOfYear]" caption="WeekOfYear" attribute="1" defaultMemberUniqueName="[Calendar].[WeekOfYear].[All]" allUniqueName="[Calendar].[WeekOfYear].[All]" dimensionUniqueName="[Calendar]" displayFolder="" count="0" memberValueDatatype="20" unbalanced="0"/>
    <cacheHierarchy uniqueName="[Calendar].[Year]" caption="Year" attribute="1" defaultMemberUniqueName="[Calendar].[Year].[All]" allUniqueName="[Calendar].[Year].[All]" dimensionUniqueName="[Calendar]" displayFolder="" count="0" memberValueDatatype="130" unbalanced="0"/>
    <cacheHierarchy uniqueName="[Calendar].[Year_Month]" caption="Year_Month" attribute="1" time="1" defaultMemberUniqueName="[Calendar].[Year_Month].[All]" allUniqueName="[Calendar].[Year_Month].[All]" dimensionUniqueName="[Calendar]" displayFolder="" count="0" memberValueDatatype="7" unbalanced="0"/>
    <cacheHierarchy uniqueName="[Calendar].[YearEndDate]" caption="YearEndDate" attribute="1" time="1" defaultMemberUniqueName="[Calendar].[YearEndDate].[All]" allUniqueName="[Calendar].[YearEndDate].[All]" dimensionUniqueName="[Calendar]" displayFolder="" count="0" memberValueDatatype="7" unbalanced="0"/>
    <cacheHierarchy uniqueName="[Calendar].[YearStartDate]" caption="YearStartDate" attribute="1" time="1" defaultMemberUniqueName="[Calendar].[YearStartDate].[All]" allUniqueName="[Calendar].[YearStartDate].[All]" dimensionUniqueName="[Calendar]" displayFolder="" count="0" memberValueDatatype="7" unbalanced="0"/>
    <cacheHierarchy uniqueName="[Closing Date].[ClosingDate]" caption="ClosingDate" attribute="1" time="1" defaultMemberUniqueName="[Closing Date].[ClosingDate].[All]" allUniqueName="[Closing Date].[ClosingDate].[All]" dimensionUniqueName="[Closing Date]" displayFolder="" count="0" memberValueDatatype="7" unbalanced="0"/>
    <cacheHierarchy uniqueName="[Closing Date].[Date]" caption="Date" attribute="1" time="1" defaultMemberUniqueName="[Closing Date].[Date].[All]" allUniqueName="[Closing Date].[Date].[All]" dimensionUniqueName="[Closing Date]" displayFolder="" count="0" memberValueDatatype="7" unbalanced="0"/>
    <cacheHierarchy uniqueName="[Closing Date].[Year]" caption="Year" attribute="1" defaultMemberUniqueName="[Closing Date].[Year].[All]" allUniqueName="[Closing Date].[Year].[All]" dimensionUniqueName="[Closing Date]" displayFolder="" count="0" memberValueDatatype="20" unbalanced="0"/>
    <cacheHierarchy uniqueName="[Closing Date].[Year_Month]" caption="Year_Month" attribute="1" time="1" defaultMemberUniqueName="[Closing Date].[Year_Month].[All]" allUniqueName="[Closing Date].[Year_Month].[All]" dimensionUniqueName="[Closing Date]" displayFolder="" count="0" memberValueDatatype="7" unbalanced="0"/>
    <cacheHierarchy uniqueName="[Organisation].[Address Line 1]" caption="Address Line 1" attribute="1" defaultMemberUniqueName="[Organisation].[Address Line 1].[All]" allUniqueName="[Organisation].[Address Line 1].[All]" dimensionUniqueName="[Organisation]" displayFolder="" count="0" memberValueDatatype="130" unbalanced="0"/>
    <cacheHierarchy uniqueName="[Organisation].[AddressLine2]" caption="AddressLine2" attribute="1" defaultMemberUniqueName="[Organisation].[AddressLine2].[All]" allUniqueName="[Organisation].[AddressLine2].[All]" dimensionUniqueName="[Organisation]" displayFolder="" count="0" memberValueDatatype="130" unbalanced="0"/>
    <cacheHierarchy uniqueName="[Organisation].[AddressLine3]" caption="AddressLine3" attribute="1" defaultMemberUniqueName="[Organisation].[AddressLine3].[All]" allUniqueName="[Organisation].[AddressLine3].[All]" dimensionUniqueName="[Organisation]" displayFolder="" count="0" memberValueDatatype="130" unbalanced="0"/>
    <cacheHierarchy uniqueName="[Organisation].[AddressType]" caption="AddressType" attribute="1" defaultMemberUniqueName="[Organisation].[AddressType].[All]" allUniqueName="[Organisation].[AddressType].[All]" dimensionUniqueName="[Organisation]" displayFolder="" count="0" memberValueDatatype="130" unbalanced="0"/>
    <cacheHierarchy uniqueName="[Organisation].[BaseCurrency]" caption="BaseCurrency" attribute="1" defaultMemberUniqueName="[Organisation].[BaseCurrency].[All]" allUniqueName="[Organisation].[BaseCurrency].[All]" dimensionUniqueName="[Organisation]" displayFolder="" count="0" memberValueDatatype="130" unbalanced="0"/>
    <cacheHierarchy uniqueName="[Organisation].[City]" caption="City" attribute="1" defaultMemberUniqueName="[Organisation].[City].[All]" allUniqueName="[Organisation].[City].[All]" dimensionUniqueName="[Organisation]" displayFolder="" count="0" memberValueDatatype="130" unbalanced="0"/>
    <cacheHierarchy uniqueName="[Organisation].[CountryCode]" caption="CountryCode" attribute="1" defaultMemberUniqueName="[Organisation].[CountryCode].[All]" allUniqueName="[Organisation].[CountryCode].[All]" dimensionUniqueName="[Organisation]" displayFolder="" count="0" memberValueDatatype="130" unbalanced="0"/>
    <cacheHierarchy uniqueName="[Organisation].[CreatedDate]" caption="CreatedDate" attribute="1" time="1" defaultMemberUniqueName="[Organisation].[CreatedDate].[All]" allUniqueName="[Organisation].[CreatedDate].[All]" dimensionUniqueName="[Organisation]" displayFolder="" count="0" memberValueDatatype="7" unbalanced="0"/>
    <cacheHierarchy uniqueName="[Organisation].[CreatedDateUTC]" caption="CreatedDateUTC" attribute="1" time="1" defaultMemberUniqueName="[Organisation].[CreatedDateUTC].[All]" allUniqueName="[Organisation].[CreatedDateUTC].[All]" dimensionUniqueName="[Organisation]" displayFolder="" count="0" memberValueDatatype="7" unbalanced="0"/>
    <cacheHierarchy uniqueName="[Organisation].[DefaultPurchasesTax]" caption="DefaultPurchasesTax" attribute="1" defaultMemberUniqueName="[Organisation].[DefaultPurchasesTax].[All]" allUniqueName="[Organisation].[DefaultPurchasesTax].[All]" dimensionUniqueName="[Organisation]" displayFolder="" count="0" memberValueDatatype="130" unbalanced="0"/>
    <cacheHierarchy uniqueName="[Organisation].[DefaultSalesTax]" caption="DefaultSalesTax" attribute="1" defaultMemberUniqueName="[Organisation].[DefaultSalesTax].[All]" allUniqueName="[Organisation].[DefaultSalesTax].[All]" dimensionUniqueName="[Organisation]" displayFolder="" count="0" memberValueDatatype="130" unbalanced="0"/>
    <cacheHierarchy uniqueName="[Organisation].[EndOfYearLockDate]" caption="EndOfYearLockDate" attribute="1" defaultMemberUniqueName="[Organisation].[EndOfYearLockDate].[All]" allUniqueName="[Organisation].[EndOfYearLockDate].[All]" dimensionUniqueName="[Organisation]" displayFolder="" count="0" memberValueDatatype="130" unbalanced="0"/>
    <cacheHierarchy uniqueName="[Organisation].[FinancialYearEndDay]" caption="FinancialYearEndDay" attribute="1" defaultMemberUniqueName="[Organisation].[FinancialYearEndDay].[All]" allUniqueName="[Organisation].[FinancialYearEndDay].[All]" dimensionUniqueName="[Organisation]" displayFolder="" count="0" memberValueDatatype="20" unbalanced="0"/>
    <cacheHierarchy uniqueName="[Organisation].[FinancialYearEndMonth]" caption="FinancialYearEndMonth" attribute="1" defaultMemberUniqueName="[Organisation].[FinancialYearEndMonth].[All]" allUniqueName="[Organisation].[FinancialYearEndMonth].[All]" dimensionUniqueName="[Organisation]" displayFolder="" count="0" memberValueDatatype="20" unbalanced="0"/>
    <cacheHierarchy uniqueName="[Organisation].[LegalName]" caption="LegalName" attribute="1" defaultMemberUniqueName="[Organisation].[LegalName].[All]" allUniqueName="[Organisation].[LegalName].[All]" dimensionUniqueName="[Organisation]" displayFolder="" count="2" memberValueDatatype="130" unbalanced="0">
      <fieldsUsage count="2">
        <fieldUsage x="-1"/>
        <fieldUsage x="1"/>
      </fieldsUsage>
    </cacheHierarchy>
    <cacheHierarchy uniqueName="[Organisation].[LineOfBusiness]" caption="LineOfBusiness" attribute="1" defaultMemberUniqueName="[Organisation].[LineOfBusiness].[All]" allUniqueName="[Organisation].[LineOfBusiness].[All]" dimensionUniqueName="[Organisation]" displayFolder="" count="0" memberValueDatatype="130" unbalanced="0"/>
    <cacheHierarchy uniqueName="[Organisation].[Organisation Name]" caption="Organisation Name" attribute="1" defaultMemberUniqueName="[Organisation].[Organisation Name].[All]" allUniqueName="[Organisation].[Organisation Name].[All]" dimensionUniqueName="[Organisation]" displayFolder="" count="0" memberValueDatatype="130" unbalanced="0"/>
    <cacheHierarchy uniqueName="[Organisation].[Organisation_ID]" caption="Organisation_ID" attribute="1" defaultMemberUniqueName="[Organisation].[Organisation_ID].[All]" allUniqueName="[Organisation].[Organisation_ID].[All]" dimensionUniqueName="[Organisation]" displayFolder="" count="0" memberValueDatatype="20" unbalanced="0"/>
    <cacheHierarchy uniqueName="[Organisation].[OrganisationEntityType]" caption="OrganisationEntityType" attribute="1" defaultMemberUniqueName="[Organisation].[OrganisationEntityType].[All]" allUniqueName="[Organisation].[OrganisationEntityType].[All]" dimensionUniqueName="[Organisation]" displayFolder="" count="0" memberValueDatatype="130" unbalanced="0"/>
    <cacheHierarchy uniqueName="[Organisation].[OrgStatus]" caption="OrgStatus" attribute="1" defaultMemberUniqueName="[Organisation].[OrgStatus].[All]" allUniqueName="[Organisation].[OrgStatus].[All]" dimensionUniqueName="[Organisation]" displayFolder="" count="0" memberValueDatatype="11" unbalanced="0"/>
    <cacheHierarchy uniqueName="[Organisation].[OrgType]" caption="OrgType" attribute="1" defaultMemberUniqueName="[Organisation].[OrgType].[All]" allUniqueName="[Organisation].[OrgType].[All]" dimensionUniqueName="[Organisation]" displayFolder="" count="0" memberValueDatatype="130" unbalanced="0"/>
    <cacheHierarchy uniqueName="[Organisation].[Ownership]" caption="Ownership" attribute="1" defaultMemberUniqueName="[Organisation].[Ownership].[All]" allUniqueName="[Organisation].[Ownership].[All]" dimensionUniqueName="[Organisation]" displayFolder="" count="0" memberValueDatatype="130" unbalanced="0"/>
    <cacheHierarchy uniqueName="[Organisation].[Parent]" caption="Parent" attribute="1" defaultMemberUniqueName="[Organisation].[Parent].[All]" allUniqueName="[Organisation].[Parent].[All]" dimensionUniqueName="[Organisation]" displayFolder="" count="0" memberValueDatatype="130" unbalanced="0"/>
    <cacheHierarchy uniqueName="[Organisation].[PaymentTermSaleType]" caption="PaymentTermSaleType" attribute="1" defaultMemberUniqueName="[Organisation].[PaymentTermSaleType].[All]" allUniqueName="[Organisation].[PaymentTermSaleType].[All]" dimensionUniqueName="[Organisation]" displayFolder="" count="0" memberValueDatatype="130" unbalanced="0"/>
    <cacheHierarchy uniqueName="[Organisation].[PaymentTermsBillDay]" caption="PaymentTermsBillDay" attribute="1" defaultMemberUniqueName="[Organisation].[PaymentTermsBillDay].[All]" allUniqueName="[Organisation].[PaymentTermsBillDay].[All]" dimensionUniqueName="[Organisation]" displayFolder="" count="0" memberValueDatatype="20" unbalanced="0"/>
    <cacheHierarchy uniqueName="[Organisation].[PaymentTermsBillType]" caption="PaymentTermsBillType" attribute="1" defaultMemberUniqueName="[Organisation].[PaymentTermsBillType].[All]" allUniqueName="[Organisation].[PaymentTermsBillType].[All]" dimensionUniqueName="[Organisation]" displayFolder="" count="0" memberValueDatatype="130" unbalanced="0"/>
    <cacheHierarchy uniqueName="[Organisation].[PaymentTermsSaleDay]" caption="PaymentTermsSaleDay" attribute="1" defaultMemberUniqueName="[Organisation].[PaymentTermsSaleDay].[All]" allUniqueName="[Organisation].[PaymentTermsSaleDay].[All]" dimensionUniqueName="[Organisation]" displayFolder="" count="0" memberValueDatatype="20" unbalanced="0"/>
    <cacheHierarchy uniqueName="[Organisation].[PaysTax]" caption="PaysTax" attribute="1" defaultMemberUniqueName="[Organisation].[PaysTax].[All]" allUniqueName="[Organisation].[PaysTax].[All]" dimensionUniqueName="[Organisation]" displayFolder="" count="0" memberValueDatatype="11" unbalanced="0"/>
    <cacheHierarchy uniqueName="[Organisation].[PeriodLockDate]" caption="PeriodLockDate" attribute="1" time="1" defaultMemberUniqueName="[Organisation].[PeriodLockDate].[All]" allUniqueName="[Organisation].[PeriodLockDate].[All]" dimensionUniqueName="[Organisation]" displayFolder="" count="0" memberValueDatatype="7" unbalanced="0"/>
    <cacheHierarchy uniqueName="[Organisation].[PhoneAreaCode]" caption="PhoneAreaCode" attribute="1" defaultMemberUniqueName="[Organisation].[PhoneAreaCode].[All]" allUniqueName="[Organisation].[PhoneAreaCode].[All]" dimensionUniqueName="[Organisation]" displayFolder="" count="0" memberValueDatatype="20" unbalanced="0"/>
    <cacheHierarchy uniqueName="[Organisation].[PhoneCountryCode]" caption="PhoneCountryCode" attribute="1" defaultMemberUniqueName="[Organisation].[PhoneCountryCode].[All]" allUniqueName="[Organisation].[PhoneCountryCode].[All]" dimensionUniqueName="[Organisation]" displayFolder="" count="0" memberValueDatatype="130" unbalanced="0"/>
    <cacheHierarchy uniqueName="[Organisation].[PhoneNumber]" caption="PhoneNumber" attribute="1" defaultMemberUniqueName="[Organisation].[PhoneNumber].[All]" allUniqueName="[Organisation].[PhoneNumber].[All]" dimensionUniqueName="[Organisation]" displayFolder="" count="0" memberValueDatatype="130" unbalanced="0"/>
    <cacheHierarchy uniqueName="[Organisation].[PhoneType]" caption="PhoneType" attribute="1" defaultMemberUniqueName="[Organisation].[PhoneType].[All]" allUniqueName="[Organisation].[PhoneType].[All]" dimensionUniqueName="[Organisation]" displayFolder="" count="0" memberValueDatatype="130" unbalanced="0"/>
    <cacheHierarchy uniqueName="[Organisation].[PostalCode]" caption="PostalCode" attribute="1" defaultMemberUniqueName="[Organisation].[PostalCode].[All]" allUniqueName="[Organisation].[PostalCode].[All]" dimensionUniqueName="[Organisation]" displayFolder="" count="0" memberValueDatatype="130" unbalanced="0"/>
    <cacheHierarchy uniqueName="[Organisation].[RegistrationNumber]" caption="RegistrationNumber" attribute="1" defaultMemberUniqueName="[Organisation].[RegistrationNumber].[All]" allUniqueName="[Organisation].[RegistrationNumber].[All]" dimensionUniqueName="[Organisation]" displayFolder="" count="0" memberValueDatatype="20" unbalanced="0"/>
    <cacheHierarchy uniqueName="[Organisation].[SalesTaxBasisType]" caption="SalesTaxBasisType" attribute="1" defaultMemberUniqueName="[Organisation].[SalesTaxBasisType].[All]" allUniqueName="[Organisation].[SalesTaxBasisType].[All]" dimensionUniqueName="[Organisation]" displayFolder="" count="0" memberValueDatatype="130" unbalanced="0"/>
    <cacheHierarchy uniqueName="[Organisation].[SalestaxPeriod]" caption="SalestaxPeriod" attribute="1" defaultMemberUniqueName="[Organisation].[SalestaxPeriod].[All]" allUniqueName="[Organisation].[SalestaxPeriod].[All]" dimensionUniqueName="[Organisation]" displayFolder="" count="0" memberValueDatatype="130" unbalanced="0"/>
    <cacheHierarchy uniqueName="[Organisation].[TaxNumber]" caption="TaxNumber" attribute="1" defaultMemberUniqueName="[Organisation].[TaxNumber].[All]" allUniqueName="[Organisation].[TaxNumber].[All]" dimensionUniqueName="[Organisation]" displayFolder="" count="0" memberValueDatatype="130" unbalanced="0"/>
    <cacheHierarchy uniqueName="[Organisation].[Timezone]" caption="Timezone" attribute="1" defaultMemberUniqueName="[Organisation].[Timezone].[All]" allUniqueName="[Organisation].[Timezone].[All]" dimensionUniqueName="[Organisation]" displayFolder="" count="0" memberValueDatatype="130" unbalanced="0"/>
    <cacheHierarchy uniqueName="[Organisation].[Version]" caption="Version" attribute="1" defaultMemberUniqueName="[Organisation].[Version].[All]" allUniqueName="[Organisation].[Version].[All]" dimensionUniqueName="[Organisation]" displayFolder="" count="0" memberValueDatatype="130" unbalanced="0"/>
    <cacheHierarchy uniqueName="[Report Structure].[CalcType]" caption="CalcType" attribute="1" defaultMemberUniqueName="[Report Structure].[CalcType].[All]" allUniqueName="[Report Structure].[CalcType].[All]" dimensionUniqueName="[Report Structure]" displayFolder="" count="0" memberValueDatatype="130" unbalanced="0"/>
    <cacheHierarchy uniqueName="[Report Structure].[Header]" caption="Header" attribute="1" defaultMemberUniqueName="[Report Structure].[Header].[All]" allUniqueName="[Report Structure].[Header].[All]" dimensionUniqueName="[Report Structure]" displayFolder="" count="0" memberValueDatatype="130" unbalanced="0"/>
    <cacheHierarchy uniqueName="[Report Structure].[Order]" caption="Order" attribute="1" defaultMemberUniqueName="[Report Structure].[Order].[All]" allUniqueName="[Report Structure].[Order].[All]" dimensionUniqueName="[Report Structure]" displayFolder="" count="0" memberValueDatatype="20" unbalanced="0"/>
    <cacheHierarchy uniqueName="[Report Structure].[Statement]" caption="Statement" attribute="1" defaultMemberUniqueName="[Report Structure].[Statement].[All]" allUniqueName="[Report Structure].[Statement].[All]" dimensionUniqueName="[Report Structure]" displayFolder="" count="0" memberValueDatatype="130" unbalanced="0"/>
    <cacheHierarchy uniqueName="[Scenario].[Scenario]" caption="Scenario" attribute="1" defaultMemberUniqueName="[Scenario].[Scenario].[All]" allUniqueName="[Scenario].[Scenario].[All]" dimensionUniqueName="[Scenario]" displayFolder="" count="0" memberValueDatatype="130" unbalanced="0"/>
    <cacheHierarchy uniqueName="[Transactions].[Account_ID]" caption="Account_ID" attribute="1" defaultMemberUniqueName="[Transactions].[Account_ID].[All]" allUniqueName="[Transactions].[Account_ID].[All]" dimensionUniqueName="[Transactions]" displayFolder="" count="0" memberValueDatatype="130" unbalanced="0"/>
    <cacheHierarchy uniqueName="[Transactions].[AccountClass]" caption="AccountClass" attribute="1" defaultMemberUniqueName="[Transactions].[AccountClass].[All]" allUniqueName="[Transactions].[AccountClass].[All]" dimensionUniqueName="[Transactions]" displayFolder="" count="0" memberValueDatatype="130" unbalanced="0"/>
    <cacheHierarchy uniqueName="[Transactions].[AccountCode]" caption="AccountCode" attribute="1" defaultMemberUniqueName="[Transactions].[AccountCode].[All]" allUniqueName="[Transactions].[AccountCode].[All]" dimensionUniqueName="[Transactions]" displayFolder="" count="0" memberValueDatatype="20" unbalanced="0"/>
    <cacheHierarchy uniqueName="[Transactions].[Balance]" caption="Balance" attribute="1" defaultMemberUniqueName="[Transactions].[Balance].[All]" allUniqueName="[Transactions].[Balance].[All]" dimensionUniqueName="[Transactions]" displayFolder="" count="0" memberValueDatatype="5" unbalanced="0"/>
    <cacheHierarchy uniqueName="[Transactions].[BaseCurrency]" caption="BaseCurrency" attribute="1" defaultMemberUniqueName="[Transactions].[BaseCurrency].[All]" allUniqueName="[Transactions].[BaseCurrency].[All]" dimensionUniqueName="[Transactions]" displayFolder="" count="0" memberValueDatatype="130" unbalanced="0"/>
    <cacheHierarchy uniqueName="[Transactions].[CreatedOrUpdatedDateUTC]" caption="CreatedOrUpdatedDateUTC" attribute="1" time="1" defaultMemberUniqueName="[Transactions].[CreatedOrUpdatedDateUTC].[All]" allUniqueName="[Transactions].[CreatedOrUpdatedDateUTC].[All]" dimensionUniqueName="[Transactions]" displayFolder="" count="0" memberValueDatatype="7" unbalanced="0"/>
    <cacheHierarchy uniqueName="[Transactions].[Date]" caption="Date" attribute="1" time="1" defaultMemberUniqueName="[Transactions].[Date].[All]" allUniqueName="[Transactions].[Date].[All]" dimensionUniqueName="[Transactions]" displayFolder="" count="0" memberValueDatatype="7" unbalanced="0"/>
    <cacheHierarchy uniqueName="[Transactions].[GrossAmt_GC]" caption="GrossAmt_GC" attribute="1" defaultMemberUniqueName="[Transactions].[GrossAmt_GC].[All]" allUniqueName="[Transactions].[GrossAmt_GC].[All]" dimensionUniqueName="[Transactions]" displayFolder="" count="0" memberValueDatatype="5" unbalanced="0"/>
    <cacheHierarchy uniqueName="[Transactions].[GrossAmt_LC]" caption="GrossAmt_LC" attribute="1" defaultMemberUniqueName="[Transactions].[GrossAmt_LC].[All]" allUniqueName="[Transactions].[GrossAmt_LC].[All]" dimensionUniqueName="[Transactions]" displayFolder="" count="0" memberValueDatatype="5" unbalanced="0"/>
    <cacheHierarchy uniqueName="[Transactions].[Group_FXRate]" caption="Group_FXRate" attribute="1" defaultMemberUniqueName="[Transactions].[Group_FXRate].[All]" allUniqueName="[Transactions].[Group_FXRate].[All]" dimensionUniqueName="[Transactions]" displayFolder="" count="0" memberValueDatatype="20" unbalanced="0"/>
    <cacheHierarchy uniqueName="[Transactions].[JID]" caption="JID" attribute="1" defaultMemberUniqueName="[Transactions].[JID].[All]" allUniqueName="[Transactions].[JID].[All]" dimensionUniqueName="[Transactions]" displayFolder="" count="0" memberValueDatatype="130" unbalanced="0"/>
    <cacheHierarchy uniqueName="[Transactions].[Month]" caption="Month" attribute="1" defaultMemberUniqueName="[Transactions].[Month].[All]" allUniqueName="[Transactions].[Month].[All]" dimensionUniqueName="[Transactions]" displayFolder="" count="0" memberValueDatatype="130" unbalanced="0"/>
    <cacheHierarchy uniqueName="[Transactions].[Months]" caption="Months" attribute="1" defaultMemberUniqueName="[Transactions].[Months].[All]" allUniqueName="[Transactions].[Months].[All]" dimensionUniqueName="[Transactions]" displayFolder="" count="0" memberValueDatatype="130" unbalanced="0"/>
    <cacheHierarchy uniqueName="[Transactions].[NetAmount_GC]" caption="NetAmount_GC" attribute="1" defaultMemberUniqueName="[Transactions].[NetAmount_GC].[All]" allUniqueName="[Transactions].[NetAmount_GC].[All]" dimensionUniqueName="[Transactions]" displayFolder="" count="0" memberValueDatatype="5" unbalanced="0"/>
    <cacheHierarchy uniqueName="[Transactions].[NetAmount_LC]" caption="NetAmount_LC" attribute="1" defaultMemberUniqueName="[Transactions].[NetAmount_LC].[All]" allUniqueName="[Transactions].[NetAmount_LC].[All]" dimensionUniqueName="[Transactions]" displayFolder="" count="0" memberValueDatatype="5" unbalanced="0"/>
    <cacheHierarchy uniqueName="[Transactions].[Organisation_ID]" caption="Organisation_ID" attribute="1" defaultMemberUniqueName="[Transactions].[Organisation_ID].[All]" allUniqueName="[Transactions].[Organisation_ID].[All]" dimensionUniqueName="[Transactions]" displayFolder="" count="0" memberValueDatatype="130" unbalanced="0"/>
    <cacheHierarchy uniqueName="[Transactions].[Reference]" caption="Reference" attribute="1" defaultMemberUniqueName="[Transactions].[Reference].[All]" allUniqueName="[Transactions].[Reference].[All]" dimensionUniqueName="[Transactions]" displayFolder="" count="0" memberValueDatatype="130" unbalanced="0"/>
    <cacheHierarchy uniqueName="[Transactions].[Scenario]" caption="Scenario" attribute="1" defaultMemberUniqueName="[Transactions].[Scenario].[All]" allUniqueName="[Transactions].[Scenario].[All]" dimensionUniqueName="[Transactions]" displayFolder="" count="0" memberValueDatatype="130" unbalanced="0"/>
    <cacheHierarchy uniqueName="[Transactions].[TaxName]" caption="TaxName" attribute="1" defaultMemberUniqueName="[Transactions].[TaxName].[All]" allUniqueName="[Transactions].[TaxName].[All]" dimensionUniqueName="[Transactions]" displayFolder="" count="0" memberValueDatatype="130" unbalanced="0"/>
    <cacheHierarchy uniqueName="[Transactions].[TaxType]" caption="TaxType" attribute="1" defaultMemberUniqueName="[Transactions].[TaxType].[All]" allUniqueName="[Transactions].[TaxType].[All]" dimensionUniqueName="[Transactions]" displayFolder="" count="0" memberValueDatatype="130" unbalanced="0"/>
    <cacheHierarchy uniqueName="[Transactions].[Years]" caption="Years" attribute="1" defaultMemberUniqueName="[Transactions].[Years].[All]" allUniqueName="[Transactions].[Years].[All]" dimensionUniqueName="[Transactions]" displayFolder="" count="0" memberValueDatatype="130" unbalanced="0"/>
    <cacheHierarchy uniqueName="[Measures].[Filtered]" caption="Filtered" measure="1" displayFolder="" measureGroup="Accounts" count="0"/>
    <cacheHierarchy uniqueName="[Measures].[Total Revenue]" caption="Total Revenue" measure="1" displayFolder="" measureGroup="Transactions" count="0"/>
    <cacheHierarchy uniqueName="[Measures].[%Sales]" caption="%Sales" measure="1" displayFolder="" measureGroup="Transactions" count="0"/>
    <cacheHierarchy uniqueName="[Measures].[ACT]" caption="ACT" measure="1" displayFolder="" measureGroup="Transactions" count="0"/>
    <cacheHierarchy uniqueName="[Measures].[VAR]" caption="VAR" measure="1" displayFolder="" measureGroup="Transactions" count="0"/>
    <cacheHierarchy uniqueName="[Measures].[VAR %]" caption="VAR %" measure="1" displayFolder="" measureGroup="Transactions" count="0"/>
    <cacheHierarchy uniqueName="[Measures].[PY ACT]" caption="PY ACT" measure="1" displayFolder="" measureGroup="Transactions" count="0"/>
    <cacheHierarchy uniqueName="[Measures].[YTD ACT]" caption="YTD ACT" measure="1" displayFolder="" measureGroup="Transactions" count="0"/>
    <cacheHierarchy uniqueName="[Measures].[Running Total]" caption="Running Total" measure="1" displayFolder="" measureGroup="Transactions" count="0"/>
    <cacheHierarchy uniqueName="[Measures].[Report Value]" caption="Report Value" measure="1" displayFolder="" measureGroup="Transactions" count="0"/>
    <cacheHierarchy uniqueName="[Measures].[Balance sheet]" caption="Balance sheet" measure="1" displayFolder="" measureGroup="Transactions" count="0"/>
    <cacheHierarchy uniqueName="[Measures].[showYear]" caption="showYear" measure="1" displayFolder="" measureGroup="Transactions" count="0"/>
    <cacheHierarchy uniqueName="[Measures].[BUD]" caption="BUD" measure="1" displayFolder="" measureGroup="Transactions" count="0"/>
    <cacheHierarchy uniqueName="[Measures].[Asymmetric]" caption="Asymmetric" measure="1" displayFolder="" measureGroup="Transactions" count="0"/>
    <cacheHierarchy uniqueName="[Measures].[Rolling Forecast]" caption="Rolling Forecast" measure="1" displayFolder="" measureGroup="Transactions" count="0"/>
    <cacheHierarchy uniqueName="[Measures].[DAX ACT ex Calender]" caption="DAX ACT ex Calender" measure="1" displayFolder="" measureGroup="Transactions" count="0"/>
    <cacheHierarchy uniqueName="[Measures].[Header Order]" caption="Header Order" measure="1" displayFolder="" measureGroup="Report Structure" count="0"/>
    <cacheHierarchy uniqueName="[Measures].[__Default measure]" caption="__Default measure" measure="1" displayFolder="" count="0" hidden="1"/>
  </cacheHierarchies>
  <kpis count="0"/>
  <dimensions count="10">
    <dimension name="Accounts" uniqueName="[Accounts]" caption="Accounts"/>
    <dimension name="Asymmetric" uniqueName="[Asymmetric]" caption="Asymmetric"/>
    <dimension name="Budget" uniqueName="[Budget]" caption="Budget"/>
    <dimension name="Calendar" uniqueName="[Calendar]" caption="Calendar"/>
    <dimension name="Closing Date" uniqueName="[Closing Date]" caption="Closing Date"/>
    <dimension measure="1" name="Measures" uniqueName="[Measures]" caption="Measures"/>
    <dimension name="Organisation" uniqueName="[Organisation]" caption="Organisation"/>
    <dimension name="Report Structure" uniqueName="[Report Structure]" caption="Report Structure"/>
    <dimension name="Scenario" uniqueName="[Scenario]" caption="Scenario"/>
    <dimension name="Transactions" uniqueName="[Transactions]" caption="Transactions"/>
  </dimensions>
  <measureGroups count="9">
    <measureGroup name="Accounts" caption="Accounts"/>
    <measureGroup name="Asymmetric" caption="Asymmetric"/>
    <measureGroup name="Budget" caption="Budget"/>
    <measureGroup name="Calendar" caption="Calendar"/>
    <measureGroup name="Closing Date" caption="Closing Date"/>
    <measureGroup name="Organisation" caption="Organisation"/>
    <measureGroup name="Report Structure" caption="Report Structure"/>
    <measureGroup name="Scenario" caption="Scenario"/>
    <measureGroup name="Transactions" caption="Transactions"/>
  </measureGroups>
  <maps count="20">
    <map measureGroup="0" dimension="0"/>
    <map measureGroup="0" dimension="7"/>
    <map measureGroup="1" dimension="1"/>
    <map measureGroup="2" dimension="0"/>
    <map measureGroup="2" dimension="2"/>
    <map measureGroup="2" dimension="3"/>
    <map measureGroup="2" dimension="6"/>
    <map measureGroup="2" dimension="7"/>
    <map measureGroup="3" dimension="3"/>
    <map measureGroup="4" dimension="4"/>
    <map measureGroup="5" dimension="6"/>
    <map measureGroup="6" dimension="7"/>
    <map measureGroup="7" dimension="8"/>
    <map measureGroup="8" dimension="0"/>
    <map measureGroup="8" dimension="1"/>
    <map measureGroup="8" dimension="3"/>
    <map measureGroup="8" dimension="6"/>
    <map measureGroup="8" dimension="7"/>
    <map measureGroup="8" dimension="8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saveData="0" refreshOnLoad="1" refreshedBy="Martin Kratky" refreshedDate="45956.37528738426" createdVersion="3" refreshedVersion="8" minRefreshableVersion="3" recordCount="0" tupleCache="1" supportSubquery="1" supportAdvancedDrill="1" xr:uid="{2DFF5799-6A92-41D6-8233-17147474BFBA}">
  <cacheSource type="external" connectionId="1"/>
  <cacheFields count="6">
    <cacheField name="[Accounts].[Statement].[Statement]" caption="Statement" numFmtId="0" hierarchy="15" level="1">
      <sharedItems count="1">
        <s v="[Accounts].[Statement].&amp;[PL]" c="PL"/>
      </sharedItems>
    </cacheField>
    <cacheField name="[Measures].[MeasuresLevel]" caption="MeasuresLevel" numFmtId="0" hierarchy="53">
      <sharedItems count="2">
        <s v="[Measures].[ACT]" c="ACT"/>
        <s v="[Measures].[BUD]" c="BUD"/>
      </sharedItems>
    </cacheField>
    <cacheField name="[Accounts].[Type].[Type]" caption="Type" numFmtId="0" hierarchy="17" level="1">
      <sharedItems count="5">
        <s v="[Accounts].[Type].&amp;[Expense]" c="Expense"/>
        <s v="[Accounts].[Type].&amp;[OtherIncome]" c="OtherIncome"/>
        <s v="[Accounts].[Type].&amp;[Revenue]" c="Revenue"/>
        <s v="[Accounts].[Type].&amp;[DirectCosts]" c="DirectCosts"/>
        <s v="[Accounts].[Type].&amp;[Overheads]" c="Overheads"/>
      </sharedItems>
    </cacheField>
    <cacheField name="[Accounts].[Name].[Name]" caption="Name" numFmtId="0" hierarchy="11" level="1">
      <sharedItems count="27">
        <s v="[Accounts].[Name].&amp;[Advertising]" c="Advertising"/>
        <s v="[Accounts].[Name].&amp;[Travel - National]" c="Travel - National"/>
        <s v="[Accounts].[Name].&amp;[Interest Income]" c="Interest Income"/>
        <s v="[Accounts].[Name].&amp;[Light, Power, Heating]" c="Light, Power, Heating"/>
        <s v="[Accounts].[Name].&amp;[Consulting &amp; Accounting]" c="Consulting &amp; Accounting"/>
        <s v="[Accounts].[Name].&amp;[Sales]" c="Sales"/>
        <s v="[Accounts].[Name].&amp;[Printing &amp; Stationery]" c="Printing &amp; Stationery"/>
        <s v="[Accounts].[Name].&amp;[Dues &amp; Subscriptions]" c="Dues &amp; Subscriptions"/>
        <s v="[Accounts].[Name].&amp;[Cost of Goods Sold]" c="Cost of Goods Sold"/>
        <s v="[Accounts].[Name].&amp;[Payroll Tax Expense]" c="Payroll Tax Expense"/>
        <s v="[Accounts].[Name].&amp;[Income Tax Expense]" c="Income Tax Expense"/>
        <s v="[Accounts].[Name].&amp;[Subscriptions]" c="Subscriptions"/>
        <s v="[Accounts].[Name].&amp;[Motor Vehicle Expenses]" c="Motor Vehicle Expenses"/>
        <s v="[Accounts].[Name].&amp;[General Expenses]" c="General Expenses"/>
        <s v="[Accounts].[Name].&amp;[Other Revenue]" c="Other Revenue"/>
        <s v="[Accounts].[Name].&amp;[Telephone &amp; Internet]" c="Telephone &amp; Internet"/>
        <s v="[Accounts].[Name].&amp;[Office Expenses]" c="Office Expenses"/>
        <s v="[Accounts].[Name].&amp;[Wages and Salaries]" c="Wages and Salaries"/>
        <s v="[Accounts].[Name].&amp;[Entertainment]" c="Entertainment"/>
        <s v="[Accounts].[Name].&amp;[Bank Fees]" c="Bank Fees"/>
        <s v="[Accounts].[Name].&amp;[Rent]" c="Rent"/>
        <s v="[Accounts].[Name].&amp;[Cleaning]" c="Cleaning"/>
        <s v="[Accounts].[Name].&amp;[Legal expenses]" c="Legal expenses"/>
        <s v="[Accounts].[Name].&amp;[Repairs and Maintenance]" c="Repairs and Maintenance"/>
        <s v="[Accounts].[Name].&amp;[Freight &amp; Courier]" c="Freight &amp; Courier"/>
        <s v="[Accounts].[Name].&amp;[Purchases]" c="Purchases"/>
        <s v="[Accounts].[Name].&amp;[Intercompany Revenue]" c="Intercompany Revenue"/>
      </sharedItems>
    </cacheField>
    <cacheField name="[Calendar].[Year_Month].[Year_Month]" caption="Year_Month" numFmtId="0" hierarchy="46" level="1">
      <sharedItems count="12">
        <s v="[Calendar].[Year_Month].&amp;[2021-09-01T00:00:00]" c="2021-09"/>
        <s v="[Calendar].[Year_Month].&amp;[2021-11-01T00:00:00]" c="2021-11"/>
        <s v="[Calendar].[Year_Month].&amp;[2021-12-01T00:00:00]" c="2021-12"/>
        <s v="[Calendar].[Year_Month].&amp;[2021-10-01T00:00:00]" c="2021-10"/>
        <s v="[Calendar].[Year_Month].&amp;[2021-08-01T00:00:00]" c="2021-08"/>
        <s v="[Calendar].[Year_Month].&amp;[2021-01-01T00:00:00]" c="2021-01"/>
        <s v="[Calendar].[Year_Month].&amp;[2021-02-01T00:00:00]" c="2021-02"/>
        <s v="[Calendar].[Year_Month].&amp;[2021-03-01T00:00:00]" c="2021-03"/>
        <s v="[Calendar].[Year_Month].&amp;[2021-04-01T00:00:00]" c="2021-04"/>
        <s v="[Calendar].[Year_Month].&amp;[2021-05-01T00:00:00]" c="2021-05"/>
        <s v="[Calendar].[Year_Month].&amp;[2021-06-01T00:00:00]" c="2021-06"/>
        <s v="[Calendar].[Year_Month].&amp;[2021-07-01T00:00:00]" c="2021-07"/>
      </sharedItems>
    </cacheField>
    <cacheField name="[Calendar].[Year].[Year]" caption="Year" numFmtId="0" hierarchy="45" level="1">
      <sharedItems count="1">
        <s v="[Calendar].[Year].&amp;[2021]" c="2021"/>
      </sharedItems>
    </cacheField>
  </cacheFields>
  <cacheHierarchies count="138">
    <cacheHierarchy uniqueName="[Accounts].[Account key]" caption="Account key" attribute="1" defaultMemberUniqueName="[Accounts].[Account key].[All]" allUniqueName="[Accounts].[Account key].[All]" dimensionUniqueName="[Accounts]" displayFolder="" count="2" unbalanced="0"/>
    <cacheHierarchy uniqueName="[Accounts].[Account_ID]" caption="Account_ID" attribute="1" defaultMemberUniqueName="[Accounts].[Account_ID].[All]" allUniqueName="[Accounts].[Account_ID].[All]" dimensionUniqueName="[Accounts]" displayFolder="" count="2" unbalanced="0"/>
    <cacheHierarchy uniqueName="[Accounts].[BankAccountNumber]" caption="BankAccountNumber" attribute="1" defaultMemberUniqueName="[Accounts].[BankAccountNumber].[All]" allUniqueName="[Accounts].[BankAccountNumber].[All]" dimensionUniqueName="[Accounts]" displayFolder="" count="2" unbalanced="0"/>
    <cacheHierarchy uniqueName="[Accounts].[Cash Flow ]" caption="Cash Flow " attribute="1" defaultMemberUniqueName="[Accounts].[Cash Flow ].[All]" allUniqueName="[Accounts].[Cash Flow ].[All]" dimensionUniqueName="[Accounts]" displayFolder="" count="2" unbalanced="0"/>
    <cacheHierarchy uniqueName="[Accounts].[Cash Flow Group]" caption="Cash Flow Group" attribute="1" defaultMemberUniqueName="[Accounts].[Cash Flow Group].[All]" allUniqueName="[Accounts].[Cash Flow Group].[All]" dimensionUniqueName="[Accounts]" displayFolder="" count="2" unbalanced="0"/>
    <cacheHierarchy uniqueName="[Accounts].[Class]" caption="Class" attribute="1" defaultMemberUniqueName="[Accounts].[Class].[All]" allUniqueName="[Accounts].[Class].[All]" dimensionUniqueName="[Accounts]" displayFolder="" count="2" unbalanced="0"/>
    <cacheHierarchy uniqueName="[Accounts].[Code]" caption="Code" attribute="1" defaultMemberUniqueName="[Accounts].[Code].[All]" allUniqueName="[Accounts].[Code].[All]" dimensionUniqueName="[Accounts]" displayFolder="" count="2" unbalanced="0"/>
    <cacheHierarchy uniqueName="[Accounts].[CurrencyCode]" caption="CurrencyCode" attribute="1" defaultMemberUniqueName="[Accounts].[CurrencyCode].[All]" allUniqueName="[Accounts].[CurrencyCode].[All]" dimensionUniqueName="[Accounts]" displayFolder="" count="2" unbalanced="0"/>
    <cacheHierarchy uniqueName="[Accounts].[Description]" caption="Description" attribute="1" defaultMemberUniqueName="[Accounts].[Description].[All]" allUniqueName="[Accounts].[Description].[All]" dimensionUniqueName="[Accounts]" displayFolder="" count="2" unbalanced="0"/>
    <cacheHierarchy uniqueName="[Accounts].[FX Conversion]" caption="FX Conversion" attribute="1" defaultMemberUniqueName="[Accounts].[FX Conversion].[All]" allUniqueName="[Accounts].[FX Conversion].[All]" dimensionUniqueName="[Accounts]" displayFolder="" count="2" unbalanced="0"/>
    <cacheHierarchy uniqueName="[Accounts].[IC]" caption="IC" attribute="1" defaultMemberUniqueName="[Accounts].[IC].[All]" allUniqueName="[Accounts].[IC].[All]" dimensionUniqueName="[Accounts]" displayFolder="" count="2" unbalanced="0"/>
    <cacheHierarchy uniqueName="[Accounts].[Name]" caption="Name" attribute="1" defaultMemberUniqueName="[Accounts].[Name].[All]" allUniqueName="[Accounts].[Name].[All]" dimensionUniqueName="[Accounts]" displayFolder="" count="2" unbalanced="0">
      <fieldsUsage count="2">
        <fieldUsage x="-1"/>
        <fieldUsage x="3"/>
      </fieldsUsage>
    </cacheHierarchy>
    <cacheHierarchy uniqueName="[Accounts].[OrgName]" caption="OrgName" attribute="1" defaultMemberUniqueName="[Accounts].[OrgName].[All]" allUniqueName="[Accounts].[OrgName].[All]" dimensionUniqueName="[Accounts]" displayFolder="" count="2" unbalanced="0"/>
    <cacheHierarchy uniqueName="[Accounts].[ReportingCode]" caption="ReportingCode" attribute="1" defaultMemberUniqueName="[Accounts].[ReportingCode].[All]" allUniqueName="[Accounts].[ReportingCode].[All]" dimensionUniqueName="[Accounts]" displayFolder="" count="2" unbalanced="0"/>
    <cacheHierarchy uniqueName="[Accounts].[ReportingCodeName]" caption="ReportingCodeName" attribute="1" defaultMemberUniqueName="[Accounts].[ReportingCodeName].[All]" allUniqueName="[Accounts].[ReportingCodeName].[All]" dimensionUniqueName="[Accounts]" displayFolder="" count="2" unbalanced="0"/>
    <cacheHierarchy uniqueName="[Accounts].[Statement]" caption="Statement" attribute="1" defaultMemberUniqueName="[Accounts].[Statement].[All]" allUniqueName="[Accounts].[Statement].[All]" dimensionUniqueName="[Accounts]" displayFolder="" count="2" unbalanced="0">
      <fieldsUsage count="2">
        <fieldUsage x="-1"/>
        <fieldUsage x="0"/>
      </fieldsUsage>
    </cacheHierarchy>
    <cacheHierarchy uniqueName="[Accounts].[Status]" caption="Status" attribute="1" defaultMemberUniqueName="[Accounts].[Status].[All]" allUniqueName="[Accounts].[Status].[All]" dimensionUniqueName="[Accounts]" displayFolder="" count="2" unbalanced="0"/>
    <cacheHierarchy uniqueName="[Accounts].[Type]" caption="Type" attribute="1" defaultMemberUniqueName="[Accounts].[Type].[All]" allUniqueName="[Accounts].[Type].[All]" allCaption="All" dimensionUniqueName="[Accounts]" displayFolder="" count="2" unbalanced="0">
      <fieldsUsage count="2">
        <fieldUsage x="-1"/>
        <fieldUsage x="2"/>
      </fieldsUsage>
    </cacheHierarchy>
    <cacheHierarchy uniqueName="[Accounts].[Type Order]" caption="Type Order" attribute="1" defaultMemberUniqueName="[Accounts].[Type Order].[All]" allUniqueName="[Accounts].[Type Order].[All]" dimensionUniqueName="[Accounts]" displayFolder="" count="2" unbalanced="0"/>
    <cacheHierarchy uniqueName="[Asymmetric].[Order]" caption="Order" attribute="1" defaultMemberUniqueName="[Asymmetric].[Order].[All]" allUniqueName="[Asymmetric].[Order].[All]" dimensionUniqueName="[Asymmetric]" displayFolder="" count="2" unbalanced="0"/>
    <cacheHierarchy uniqueName="[Asymmetric].[Report Year]" caption="Report Year" attribute="1" defaultMemberUniqueName="[Asymmetric].[Report Year].[All]" allUniqueName="[Asymmetric].[Report Year].[All]" dimensionUniqueName="[Asymmetric]" displayFolder="" count="2" unbalanced="0"/>
    <cacheHierarchy uniqueName="[Asymmetric].[Scenario]" caption="Scenario" attribute="1" defaultMemberUniqueName="[Asymmetric].[Scenario].[All]" allUniqueName="[Asymmetric].[Scenario].[All]" dimensionUniqueName="[Asymmetric]" displayFolder="" count="2" unbalanced="0"/>
    <cacheHierarchy uniqueName="[Budget].[Account_ID]" caption="Account_ID" attribute="1" defaultMemberUniqueName="[Budget].[Account_ID].[All]" allUniqueName="[Budget].[Account_ID].[All]" dimensionUniqueName="[Budget]" displayFolder="" count="2" unbalanced="0"/>
    <cacheHierarchy uniqueName="[Budget].[AccountClass]" caption="AccountClass" attribute="1" defaultMemberUniqueName="[Budget].[AccountClass].[All]" allUniqueName="[Budget].[AccountClass].[All]" dimensionUniqueName="[Budget]" displayFolder="" count="2" unbalanced="0"/>
    <cacheHierarchy uniqueName="[Budget].[Date]" caption="Date" attribute="1" defaultMemberUniqueName="[Budget].[Date].[All]" allUniqueName="[Budget].[Date].[All]" dimensionUniqueName="[Budget]" displayFolder="" count="2" unbalanced="0"/>
    <cacheHierarchy uniqueName="[Budget].[Month]" caption="Month" attribute="1" defaultMemberUniqueName="[Budget].[Month].[All]" allUniqueName="[Budget].[Month].[All]" dimensionUniqueName="[Budget]" displayFolder="" count="2" unbalanced="0"/>
    <cacheHierarchy uniqueName="[Budget].[NetAmount_GC]" caption="NetAmount_GC" attribute="1" defaultMemberUniqueName="[Budget].[NetAmount_GC].[All]" allUniqueName="[Budget].[NetAmount_GC].[All]" dimensionUniqueName="[Budget]" displayFolder="" count="2" unbalanced="0"/>
    <cacheHierarchy uniqueName="[Budget].[NetAmount_LC]" caption="NetAmount_LC" attribute="1" defaultMemberUniqueName="[Budget].[NetAmount_LC].[All]" allUniqueName="[Budget].[NetAmount_LC].[All]" dimensionUniqueName="[Budget]" displayFolder="" count="2" unbalanced="0"/>
    <cacheHierarchy uniqueName="[Budget].[Organisation_ID]" caption="Organisation_ID" attribute="1" defaultMemberUniqueName="[Budget].[Organisation_ID].[All]" allUniqueName="[Budget].[Organisation_ID].[All]" dimensionUniqueName="[Budget]" displayFolder="" count="2" unbalanced="0"/>
    <cacheHierarchy uniqueName="[Budget].[Scenario]" caption="Scenario" attribute="1" defaultMemberUniqueName="[Budget].[Scenario].[All]" allUniqueName="[Budget].[Scenario].[All]" dimensionUniqueName="[Budget]" displayFolder="" count="2" unbalanced="0"/>
    <cacheHierarchy uniqueName="[Budget].[Years]" caption="Years" attribute="1" defaultMemberUniqueName="[Budget].[Years].[All]" allUniqueName="[Budget].[Years].[All]" dimensionUniqueName="[Budget]" displayFolder="" count="2" unbalanced="0"/>
    <cacheHierarchy uniqueName="[Calendar].[Date]" caption="Date" attribute="1" defaultMemberUniqueName="[Calendar].[Date].[All]" allUniqueName="[Calendar].[Date].[All]" dimensionUniqueName="[Calendar]" displayFolder="" count="2" unbalanced="0"/>
    <cacheHierarchy uniqueName="[Calendar].[Day]" caption="Day" attribute="1" defaultMemberUniqueName="[Calendar].[Day].[All]" allUniqueName="[Calendar].[Day].[All]" dimensionUniqueName="[Calendar]" displayFolder="" count="2" unbalanced="0"/>
    <cacheHierarchy uniqueName="[Calendar].[DayOfWeek]" caption="DayOfWeek" attribute="1" defaultMemberUniqueName="[Calendar].[DayOfWeek].[All]" allUniqueName="[Calendar].[DayOfWeek].[All]" dimensionUniqueName="[Calendar]" displayFolder="" count="2" unbalanced="0"/>
    <cacheHierarchy uniqueName="[Calendar].[DayOfWeekAbr]" caption="DayOfWeekAbr" attribute="1" defaultMemberUniqueName="[Calendar].[DayOfWeekAbr].[All]" allUniqueName="[Calendar].[DayOfWeekAbr].[All]" dimensionUniqueName="[Calendar]" displayFolder="" count="2" unbalanced="0"/>
    <cacheHierarchy uniqueName="[Calendar].[DayOfYear]" caption="DayOfYear" attribute="1" defaultMemberUniqueName="[Calendar].[DayOfYear].[All]" allUniqueName="[Calendar].[DayOfYear].[All]" dimensionUniqueName="[Calendar]" displayFolder="" count="2" unbalanced="0"/>
    <cacheHierarchy uniqueName="[Calendar].[FinancialMonth]" caption="FinancialMonth" attribute="1" defaultMemberUniqueName="[Calendar].[FinancialMonth].[All]" allUniqueName="[Calendar].[FinancialMonth].[All]" dimensionUniqueName="[Calendar]" displayFolder="" count="2" unbalanced="0"/>
    <cacheHierarchy uniqueName="[Calendar].[FinancialQuarter]" caption="FinancialQuarter" attribute="1" defaultMemberUniqueName="[Calendar].[FinancialQuarter].[All]" allUniqueName="[Calendar].[FinancialQuarter].[All]" dimensionUniqueName="[Calendar]" displayFolder="" count="2" unbalanced="0"/>
    <cacheHierarchy uniqueName="[Calendar].[FinancialYear]" caption="FinancialYear" attribute="1" defaultMemberUniqueName="[Calendar].[FinancialYear].[All]" allUniqueName="[Calendar].[FinancialYear].[All]" dimensionUniqueName="[Calendar]" displayFolder="" count="2" unbalanced="0"/>
    <cacheHierarchy uniqueName="[Calendar].[Month]" caption="Month" attribute="1" defaultMemberUniqueName="[Calendar].[Month].[All]" allUniqueName="[Calendar].[Month].[All]" dimensionUniqueName="[Calendar]" displayFolder="" count="2" unbalanced="0"/>
    <cacheHierarchy uniqueName="[Calendar].[MonthEndDate]" caption="MonthEndDate" attribute="1" defaultMemberUniqueName="[Calendar].[MonthEndDate].[All]" allUniqueName="[Calendar].[MonthEndDate].[All]" dimensionUniqueName="[Calendar]" displayFolder="" count="2" unbalanced="0"/>
    <cacheHierarchy uniqueName="[Calendar].[MonthName]" caption="MonthName" attribute="1" defaultMemberUniqueName="[Calendar].[MonthName].[All]" allUniqueName="[Calendar].[MonthName].[All]" dimensionUniqueName="[Calendar]" displayFolder="" count="2" unbalanced="0"/>
    <cacheHierarchy uniqueName="[Calendar].[MonthNameAbr]" caption="MonthNameAbr" attribute="1" defaultMemberUniqueName="[Calendar].[MonthNameAbr].[All]" allUniqueName="[Calendar].[MonthNameAbr].[All]" dimensionUniqueName="[Calendar]" displayFolder="" count="2" unbalanced="0"/>
    <cacheHierarchy uniqueName="[Calendar].[Quarter]" caption="Quarter" attribute="1" defaultMemberUniqueName="[Calendar].[Quarter].[All]" allUniqueName="[Calendar].[Quarter].[All]" dimensionUniqueName="[Calendar]" displayFolder="" count="2" unbalanced="0"/>
    <cacheHierarchy uniqueName="[Calendar].[WeekOfYear]" caption="WeekOfYear" attribute="1" defaultMemberUniqueName="[Calendar].[WeekOfYear].[All]" allUniqueName="[Calendar].[WeekOfYear].[All]" dimensionUniqueName="[Calendar]" displayFolder="" count="2" unbalanced="0"/>
    <cacheHierarchy uniqueName="[Calendar].[Year]" caption="Year" attribute="1" defaultMemberUniqueName="[Calendar].[Year].[All]" allUniqueName="[Calendar].[Year].[All]" dimensionUniqueName="[Calendar]" displayFolder="" count="2" unbalanced="0">
      <fieldsUsage count="2">
        <fieldUsage x="-1"/>
        <fieldUsage x="5"/>
      </fieldsUsage>
    </cacheHierarchy>
    <cacheHierarchy uniqueName="[Calendar].[Year_Month]" caption="Year_Month" attribute="1" defaultMemberUniqueName="[Calendar].[Year_Month].[All]" allUniqueName="[Calendar].[Year_Month].[All]" dimensionUniqueName="[Calendar]" displayFolder="" count="2" unbalanced="0">
      <fieldsUsage count="2">
        <fieldUsage x="-1"/>
        <fieldUsage x="4"/>
      </fieldsUsage>
    </cacheHierarchy>
    <cacheHierarchy uniqueName="[Calendar].[YearEndDate]" caption="YearEndDate" attribute="1" defaultMemberUniqueName="[Calendar].[YearEndDate].[All]" allUniqueName="[Calendar].[YearEndDate].[All]" dimensionUniqueName="[Calendar]" displayFolder="" count="2" unbalanced="0"/>
    <cacheHierarchy uniqueName="[Calendar].[YearStartDate]" caption="YearStartDate" attribute="1" defaultMemberUniqueName="[Calendar].[YearStartDate].[All]" allUniqueName="[Calendar].[YearStartDate].[All]" dimensionUniqueName="[Calendar]" displayFolder="" count="2" unbalanced="0"/>
    <cacheHierarchy uniqueName="[Closing Date].[ClosingDate]" caption="ClosingDate" attribute="1" defaultMemberUniqueName="[Closing Date].[ClosingDate].[All]" allUniqueName="[Closing Date].[ClosingDate].[All]" dimensionUniqueName="[Closing Date]" displayFolder="" count="2" unbalanced="0"/>
    <cacheHierarchy uniqueName="[Closing Date].[Date]" caption="Date" attribute="1" defaultMemberUniqueName="[Closing Date].[Date].[All]" allUniqueName="[Closing Date].[Date].[All]" dimensionUniqueName="[Closing Date]" displayFolder="" count="2" unbalanced="0"/>
    <cacheHierarchy uniqueName="[Closing Date].[Year]" caption="Year" attribute="1" defaultMemberUniqueName="[Closing Date].[Year].[All]" allUniqueName="[Closing Date].[Year].[All]" dimensionUniqueName="[Closing Date]" displayFolder="" count="2" unbalanced="0"/>
    <cacheHierarchy uniqueName="[Closing Date].[Year_Month]" caption="Year_Month" attribute="1" defaultMemberUniqueName="[Closing Date].[Year_Month].[All]" allUniqueName="[Closing Date].[Year_Month].[All]" dimensionUniqueName="[Closing Date]" displayFolder="" count="2" unbalanced="0"/>
    <cacheHierarchy uniqueName="[Measures]" caption="Measures" attribute="1" keyAttribute="1" defaultMemberUniqueName="[Measures].[__Default measure]" dimensionUniqueName="[Measures]" displayFolder="" measures="1" count="1" unbalanced="0">
      <fieldsUsage count="1">
        <fieldUsage x="1"/>
      </fieldsUsage>
    </cacheHierarchy>
    <cacheHierarchy uniqueName="[Organisation].[Address Line 1]" caption="Address Line 1" attribute="1" defaultMemberUniqueName="[Organisation].[Address Line 1].[All]" allUniqueName="[Organisation].[Address Line 1].[All]" dimensionUniqueName="[Organisation]" displayFolder="" count="2" unbalanced="0"/>
    <cacheHierarchy uniqueName="[Organisation].[AddressLine2]" caption="AddressLine2" attribute="1" defaultMemberUniqueName="[Organisation].[AddressLine2].[All]" allUniqueName="[Organisation].[AddressLine2].[All]" dimensionUniqueName="[Organisation]" displayFolder="" count="2" unbalanced="0"/>
    <cacheHierarchy uniqueName="[Organisation].[AddressLine3]" caption="AddressLine3" attribute="1" defaultMemberUniqueName="[Organisation].[AddressLine3].[All]" allUniqueName="[Organisation].[AddressLine3].[All]" dimensionUniqueName="[Organisation]" displayFolder="" count="2" unbalanced="0"/>
    <cacheHierarchy uniqueName="[Organisation].[AddressType]" caption="AddressType" attribute="1" defaultMemberUniqueName="[Organisation].[AddressType].[All]" allUniqueName="[Organisation].[AddressType].[All]" dimensionUniqueName="[Organisation]" displayFolder="" count="2" unbalanced="0"/>
    <cacheHierarchy uniqueName="[Organisation].[BaseCurrency]" caption="BaseCurrency" attribute="1" defaultMemberUniqueName="[Organisation].[BaseCurrency].[All]" allUniqueName="[Organisation].[BaseCurrency].[All]" dimensionUniqueName="[Organisation]" displayFolder="" count="2" unbalanced="0"/>
    <cacheHierarchy uniqueName="[Organisation].[City]" caption="City" attribute="1" defaultMemberUniqueName="[Organisation].[City].[All]" allUniqueName="[Organisation].[City].[All]" dimensionUniqueName="[Organisation]" displayFolder="" count="2" unbalanced="0"/>
    <cacheHierarchy uniqueName="[Organisation].[CountryCode]" caption="CountryCode" attribute="1" defaultMemberUniqueName="[Organisation].[CountryCode].[All]" allUniqueName="[Organisation].[CountryCode].[All]" dimensionUniqueName="[Organisation]" displayFolder="" count="2" unbalanced="0"/>
    <cacheHierarchy uniqueName="[Organisation].[CreatedDate]" caption="CreatedDate" attribute="1" defaultMemberUniqueName="[Organisation].[CreatedDate].[All]" allUniqueName="[Organisation].[CreatedDate].[All]" dimensionUniqueName="[Organisation]" displayFolder="" count="2" unbalanced="0"/>
    <cacheHierarchy uniqueName="[Organisation].[CreatedDateUTC]" caption="CreatedDateUTC" attribute="1" defaultMemberUniqueName="[Organisation].[CreatedDateUTC].[All]" allUniqueName="[Organisation].[CreatedDateUTC].[All]" dimensionUniqueName="[Organisation]" displayFolder="" count="2" unbalanced="0"/>
    <cacheHierarchy uniqueName="[Organisation].[DefaultPurchasesTax]" caption="DefaultPurchasesTax" attribute="1" defaultMemberUniqueName="[Organisation].[DefaultPurchasesTax].[All]" allUniqueName="[Organisation].[DefaultPurchasesTax].[All]" dimensionUniqueName="[Organisation]" displayFolder="" count="2" unbalanced="0"/>
    <cacheHierarchy uniqueName="[Organisation].[DefaultSalesTax]" caption="DefaultSalesTax" attribute="1" defaultMemberUniqueName="[Organisation].[DefaultSalesTax].[All]" allUniqueName="[Organisation].[DefaultSalesTax].[All]" dimensionUniqueName="[Organisation]" displayFolder="" count="2" unbalanced="0"/>
    <cacheHierarchy uniqueName="[Organisation].[EndOfYearLockDate]" caption="EndOfYearLockDate" attribute="1" defaultMemberUniqueName="[Organisation].[EndOfYearLockDate].[All]" allUniqueName="[Organisation].[EndOfYearLockDate].[All]" dimensionUniqueName="[Organisation]" displayFolder="" count="2" unbalanced="0"/>
    <cacheHierarchy uniqueName="[Organisation].[FinancialYearEndDay]" caption="FinancialYearEndDay" attribute="1" defaultMemberUniqueName="[Organisation].[FinancialYearEndDay].[All]" allUniqueName="[Organisation].[FinancialYearEndDay].[All]" dimensionUniqueName="[Organisation]" displayFolder="" count="2" unbalanced="0"/>
    <cacheHierarchy uniqueName="[Organisation].[FinancialYearEndMonth]" caption="FinancialYearEndMonth" attribute="1" defaultMemberUniqueName="[Organisation].[FinancialYearEndMonth].[All]" allUniqueName="[Organisation].[FinancialYearEndMonth].[All]" dimensionUniqueName="[Organisation]" displayFolder="" count="2" unbalanced="0"/>
    <cacheHierarchy uniqueName="[Organisation].[LegalName]" caption="LegalName" attribute="1" defaultMemberUniqueName="[Organisation].[LegalName].[All]" allUniqueName="[Organisation].[LegalName].[All]" allCaption="All" dimensionUniqueName="[Organisation]" displayFolder="" count="2" unbalanced="0"/>
    <cacheHierarchy uniqueName="[Organisation].[LineOfBusiness]" caption="LineOfBusiness" attribute="1" defaultMemberUniqueName="[Organisation].[LineOfBusiness].[All]" allUniqueName="[Organisation].[LineOfBusiness].[All]" dimensionUniqueName="[Organisation]" displayFolder="" count="2" unbalanced="0"/>
    <cacheHierarchy uniqueName="[Organisation].[Organisation Name]" caption="Organisation Name" attribute="1" defaultMemberUniqueName="[Organisation].[Organisation Name].[All]" allUniqueName="[Organisation].[Organisation Name].[All]" dimensionUniqueName="[Organisation]" displayFolder="" count="2" unbalanced="0"/>
    <cacheHierarchy uniqueName="[Organisation].[Organisation_ID]" caption="Organisation_ID" attribute="1" defaultMemberUniqueName="[Organisation].[Organisation_ID].[All]" allUniqueName="[Organisation].[Organisation_ID].[All]" dimensionUniqueName="[Organisation]" displayFolder="" count="2" unbalanced="0"/>
    <cacheHierarchy uniqueName="[Organisation].[OrganisationEntityType]" caption="OrganisationEntityType" attribute="1" defaultMemberUniqueName="[Organisation].[OrganisationEntityType].[All]" allUniqueName="[Organisation].[OrganisationEntityType].[All]" dimensionUniqueName="[Organisation]" displayFolder="" count="2" unbalanced="0"/>
    <cacheHierarchy uniqueName="[Organisation].[OrgStatus]" caption="OrgStatus" attribute="1" defaultMemberUniqueName="[Organisation].[OrgStatus].[All]" allUniqueName="[Organisation].[OrgStatus].[All]" dimensionUniqueName="[Organisation]" displayFolder="" count="2" unbalanced="0"/>
    <cacheHierarchy uniqueName="[Organisation].[OrgType]" caption="OrgType" attribute="1" defaultMemberUniqueName="[Organisation].[OrgType].[All]" allUniqueName="[Organisation].[OrgType].[All]" dimensionUniqueName="[Organisation]" displayFolder="" count="2" unbalanced="0"/>
    <cacheHierarchy uniqueName="[Organisation].[Ownership]" caption="Ownership" attribute="1" defaultMemberUniqueName="[Organisation].[Ownership].[All]" allUniqueName="[Organisation].[Ownership].[All]" dimensionUniqueName="[Organisation]" displayFolder="" count="2" unbalanced="0"/>
    <cacheHierarchy uniqueName="[Organisation].[Parent]" caption="Parent" attribute="1" defaultMemberUniqueName="[Organisation].[Parent].[All]" allUniqueName="[Organisation].[Parent].[All]" dimensionUniqueName="[Organisation]" displayFolder="" count="2" unbalanced="0"/>
    <cacheHierarchy uniqueName="[Organisation].[PaymentTermSaleType]" caption="PaymentTermSaleType" attribute="1" defaultMemberUniqueName="[Organisation].[PaymentTermSaleType].[All]" allUniqueName="[Organisation].[PaymentTermSaleType].[All]" dimensionUniqueName="[Organisation]" displayFolder="" count="2" unbalanced="0"/>
    <cacheHierarchy uniqueName="[Organisation].[PaymentTermsBillDay]" caption="PaymentTermsBillDay" attribute="1" defaultMemberUniqueName="[Organisation].[PaymentTermsBillDay].[All]" allUniqueName="[Organisation].[PaymentTermsBillDay].[All]" dimensionUniqueName="[Organisation]" displayFolder="" count="2" unbalanced="0"/>
    <cacheHierarchy uniqueName="[Organisation].[PaymentTermsBillType]" caption="PaymentTermsBillType" attribute="1" defaultMemberUniqueName="[Organisation].[PaymentTermsBillType].[All]" allUniqueName="[Organisation].[PaymentTermsBillType].[All]" dimensionUniqueName="[Organisation]" displayFolder="" count="2" unbalanced="0"/>
    <cacheHierarchy uniqueName="[Organisation].[PaymentTermsSaleDay]" caption="PaymentTermsSaleDay" attribute="1" defaultMemberUniqueName="[Organisation].[PaymentTermsSaleDay].[All]" allUniqueName="[Organisation].[PaymentTermsSaleDay].[All]" dimensionUniqueName="[Organisation]" displayFolder="" count="2" unbalanced="0"/>
    <cacheHierarchy uniqueName="[Organisation].[PaysTax]" caption="PaysTax" attribute="1" defaultMemberUniqueName="[Organisation].[PaysTax].[All]" allUniqueName="[Organisation].[PaysTax].[All]" dimensionUniqueName="[Organisation]" displayFolder="" count="2" unbalanced="0"/>
    <cacheHierarchy uniqueName="[Organisation].[PeriodLockDate]" caption="PeriodLockDate" attribute="1" defaultMemberUniqueName="[Organisation].[PeriodLockDate].[All]" allUniqueName="[Organisation].[PeriodLockDate].[All]" dimensionUniqueName="[Organisation]" displayFolder="" count="2" unbalanced="0"/>
    <cacheHierarchy uniqueName="[Organisation].[PhoneAreaCode]" caption="PhoneAreaCode" attribute="1" defaultMemberUniqueName="[Organisation].[PhoneAreaCode].[All]" allUniqueName="[Organisation].[PhoneAreaCode].[All]" dimensionUniqueName="[Organisation]" displayFolder="" count="2" unbalanced="0"/>
    <cacheHierarchy uniqueName="[Organisation].[PhoneCountryCode]" caption="PhoneCountryCode" attribute="1" defaultMemberUniqueName="[Organisation].[PhoneCountryCode].[All]" allUniqueName="[Organisation].[PhoneCountryCode].[All]" dimensionUniqueName="[Organisation]" displayFolder="" count="2" unbalanced="0"/>
    <cacheHierarchy uniqueName="[Organisation].[PhoneNumber]" caption="PhoneNumber" attribute="1" defaultMemberUniqueName="[Organisation].[PhoneNumber].[All]" allUniqueName="[Organisation].[PhoneNumber].[All]" dimensionUniqueName="[Organisation]" displayFolder="" count="2" unbalanced="0"/>
    <cacheHierarchy uniqueName="[Organisation].[PhoneType]" caption="PhoneType" attribute="1" defaultMemberUniqueName="[Organisation].[PhoneType].[All]" allUniqueName="[Organisation].[PhoneType].[All]" dimensionUniqueName="[Organisation]" displayFolder="" count="2" unbalanced="0"/>
    <cacheHierarchy uniqueName="[Organisation].[PostalCode]" caption="PostalCode" attribute="1" defaultMemberUniqueName="[Organisation].[PostalCode].[All]" allUniqueName="[Organisation].[PostalCode].[All]" dimensionUniqueName="[Organisation]" displayFolder="" count="2" unbalanced="0"/>
    <cacheHierarchy uniqueName="[Organisation].[RegistrationNumber]" caption="RegistrationNumber" attribute="1" defaultMemberUniqueName="[Organisation].[RegistrationNumber].[All]" allUniqueName="[Organisation].[RegistrationNumber].[All]" dimensionUniqueName="[Organisation]" displayFolder="" count="2" unbalanced="0"/>
    <cacheHierarchy uniqueName="[Organisation].[SalesTaxBasisType]" caption="SalesTaxBasisType" attribute="1" defaultMemberUniqueName="[Organisation].[SalesTaxBasisType].[All]" allUniqueName="[Organisation].[SalesTaxBasisType].[All]" dimensionUniqueName="[Organisation]" displayFolder="" count="2" unbalanced="0"/>
    <cacheHierarchy uniqueName="[Organisation].[SalestaxPeriod]" caption="SalestaxPeriod" attribute="1" defaultMemberUniqueName="[Organisation].[SalestaxPeriod].[All]" allUniqueName="[Organisation].[SalestaxPeriod].[All]" dimensionUniqueName="[Organisation]" displayFolder="" count="2" unbalanced="0"/>
    <cacheHierarchy uniqueName="[Organisation].[TaxNumber]" caption="TaxNumber" attribute="1" defaultMemberUniqueName="[Organisation].[TaxNumber].[All]" allUniqueName="[Organisation].[TaxNumber].[All]" dimensionUniqueName="[Organisation]" displayFolder="" count="2" unbalanced="0"/>
    <cacheHierarchy uniqueName="[Organisation].[Timezone]" caption="Timezone" attribute="1" defaultMemberUniqueName="[Organisation].[Timezone].[All]" allUniqueName="[Organisation].[Timezone].[All]" dimensionUniqueName="[Organisation]" displayFolder="" count="2" unbalanced="0"/>
    <cacheHierarchy uniqueName="[Organisation].[Version]" caption="Version" attribute="1" defaultMemberUniqueName="[Organisation].[Version].[All]" allUniqueName="[Organisation].[Version].[All]" dimensionUniqueName="[Organisation]" displayFolder="" count="2" unbalanced="0"/>
    <cacheHierarchy uniqueName="[Report Structure].[CalcType]" caption="CalcType" attribute="1" defaultMemberUniqueName="[Report Structure].[CalcType].[All]" allUniqueName="[Report Structure].[CalcType].[All]" dimensionUniqueName="[Report Structure]" displayFolder="" count="2" unbalanced="0"/>
    <cacheHierarchy uniqueName="[Report Structure].[Header]" caption="Header" attribute="1" defaultMemberUniqueName="[Report Structure].[Header].[All]" allUniqueName="[Report Structure].[Header].[All]" dimensionUniqueName="[Report Structure]" displayFolder="" count="2" unbalanced="0"/>
    <cacheHierarchy uniqueName="[Report Structure].[Order]" caption="Order" attribute="1" defaultMemberUniqueName="[Report Structure].[Order].[All]" allUniqueName="[Report Structure].[Order].[All]" dimensionUniqueName="[Report Structure]" displayFolder="" count="2" unbalanced="0"/>
    <cacheHierarchy uniqueName="[Report Structure].[Statement]" caption="Statement" attribute="1" defaultMemberUniqueName="[Report Structure].[Statement].[All]" allUniqueName="[Report Structure].[Statement].[All]" dimensionUniqueName="[Report Structure]" displayFolder="" count="2" unbalanced="0"/>
    <cacheHierarchy uniqueName="[Scenario].[Scenario]" caption="Scenario" attribute="1" defaultMemberUniqueName="[Scenario].[Scenario].[All]" allUniqueName="[Scenario].[Scenario].[All]" dimensionUniqueName="[Scenario]" displayFolder="" count="2" unbalanced="0"/>
    <cacheHierarchy uniqueName="[Transactions].[Account_ID]" caption="Account_ID" attribute="1" defaultMemberUniqueName="[Transactions].[Account_ID].[All]" allUniqueName="[Transactions].[Account_ID].[All]" dimensionUniqueName="[Transactions]" displayFolder="" count="2" unbalanced="0"/>
    <cacheHierarchy uniqueName="[Transactions].[AccountClass]" caption="AccountClass" attribute="1" defaultMemberUniqueName="[Transactions].[AccountClass].[All]" allUniqueName="[Transactions].[AccountClass].[All]" dimensionUniqueName="[Transactions]" displayFolder="" count="2" unbalanced="0"/>
    <cacheHierarchy uniqueName="[Transactions].[AccountCode]" caption="AccountCode" attribute="1" defaultMemberUniqueName="[Transactions].[AccountCode].[All]" allUniqueName="[Transactions].[AccountCode].[All]" dimensionUniqueName="[Transactions]" displayFolder="" count="2" unbalanced="0"/>
    <cacheHierarchy uniqueName="[Transactions].[Balance]" caption="Balance" attribute="1" defaultMemberUniqueName="[Transactions].[Balance].[All]" allUniqueName="[Transactions].[Balance].[All]" dimensionUniqueName="[Transactions]" displayFolder="" count="2" unbalanced="0"/>
    <cacheHierarchy uniqueName="[Transactions].[BaseCurrency]" caption="BaseCurrency" attribute="1" defaultMemberUniqueName="[Transactions].[BaseCurrency].[All]" allUniqueName="[Transactions].[BaseCurrency].[All]" dimensionUniqueName="[Transactions]" displayFolder="" count="2" unbalanced="0"/>
    <cacheHierarchy uniqueName="[Transactions].[CreatedOrUpdatedDateUTC]" caption="CreatedOrUpdatedDateUTC" attribute="1" defaultMemberUniqueName="[Transactions].[CreatedOrUpdatedDateUTC].[All]" allUniqueName="[Transactions].[CreatedOrUpdatedDateUTC].[All]" dimensionUniqueName="[Transactions]" displayFolder="" count="2" unbalanced="0"/>
    <cacheHierarchy uniqueName="[Transactions].[Date]" caption="Date" attribute="1" defaultMemberUniqueName="[Transactions].[Date].[All]" allUniqueName="[Transactions].[Date].[All]" dimensionUniqueName="[Transactions]" displayFolder="" count="2" unbalanced="0"/>
    <cacheHierarchy uniqueName="[Transactions].[GrossAmt_GC]" caption="GrossAmt_GC" attribute="1" defaultMemberUniqueName="[Transactions].[GrossAmt_GC].[All]" allUniqueName="[Transactions].[GrossAmt_GC].[All]" dimensionUniqueName="[Transactions]" displayFolder="" count="2" unbalanced="0"/>
    <cacheHierarchy uniqueName="[Transactions].[GrossAmt_LC]" caption="GrossAmt_LC" attribute="1" defaultMemberUniqueName="[Transactions].[GrossAmt_LC].[All]" allUniqueName="[Transactions].[GrossAmt_LC].[All]" dimensionUniqueName="[Transactions]" displayFolder="" count="2" unbalanced="0"/>
    <cacheHierarchy uniqueName="[Transactions].[Group_FXRate]" caption="Group_FXRate" attribute="1" defaultMemberUniqueName="[Transactions].[Group_FXRate].[All]" allUniqueName="[Transactions].[Group_FXRate].[All]" dimensionUniqueName="[Transactions]" displayFolder="" count="2" unbalanced="0"/>
    <cacheHierarchy uniqueName="[Transactions].[JID]" caption="JID" attribute="1" defaultMemberUniqueName="[Transactions].[JID].[All]" allUniqueName="[Transactions].[JID].[All]" dimensionUniqueName="[Transactions]" displayFolder="" count="2" unbalanced="0"/>
    <cacheHierarchy uniqueName="[Transactions].[Month]" caption="Month" attribute="1" defaultMemberUniqueName="[Transactions].[Month].[All]" allUniqueName="[Transactions].[Month].[All]" dimensionUniqueName="[Transactions]" displayFolder="" count="2" unbalanced="0"/>
    <cacheHierarchy uniqueName="[Transactions].[Months]" caption="Months" attribute="1" defaultMemberUniqueName="[Transactions].[Months].[All]" allUniqueName="[Transactions].[Months].[All]" dimensionUniqueName="[Transactions]" displayFolder="" count="2" unbalanced="0"/>
    <cacheHierarchy uniqueName="[Transactions].[NetAmount_GC]" caption="NetAmount_GC" attribute="1" defaultMemberUniqueName="[Transactions].[NetAmount_GC].[All]" allUniqueName="[Transactions].[NetAmount_GC].[All]" dimensionUniqueName="[Transactions]" displayFolder="" count="2" unbalanced="0"/>
    <cacheHierarchy uniqueName="[Transactions].[NetAmount_LC]" caption="NetAmount_LC" attribute="1" defaultMemberUniqueName="[Transactions].[NetAmount_LC].[All]" allUniqueName="[Transactions].[NetAmount_LC].[All]" dimensionUniqueName="[Transactions]" displayFolder="" count="2" unbalanced="0"/>
    <cacheHierarchy uniqueName="[Transactions].[Organisation_ID]" caption="Organisation_ID" attribute="1" defaultMemberUniqueName="[Transactions].[Organisation_ID].[All]" allUniqueName="[Transactions].[Organisation_ID].[All]" dimensionUniqueName="[Transactions]" displayFolder="" count="2" unbalanced="0"/>
    <cacheHierarchy uniqueName="[Transactions].[Reference]" caption="Reference" attribute="1" defaultMemberUniqueName="[Transactions].[Reference].[All]" allUniqueName="[Transactions].[Reference].[All]" dimensionUniqueName="[Transactions]" displayFolder="" count="2" unbalanced="0"/>
    <cacheHierarchy uniqueName="[Transactions].[Scenario]" caption="Scenario" attribute="1" defaultMemberUniqueName="[Transactions].[Scenario].[All]" allUniqueName="[Transactions].[Scenario].[All]" dimensionUniqueName="[Transactions]" displayFolder="" count="2" unbalanced="0"/>
    <cacheHierarchy uniqueName="[Transactions].[TaxName]" caption="TaxName" attribute="1" defaultMemberUniqueName="[Transactions].[TaxName].[All]" allUniqueName="[Transactions].[TaxName].[All]" dimensionUniqueName="[Transactions]" displayFolder="" count="2" unbalanced="0"/>
    <cacheHierarchy uniqueName="[Transactions].[TaxType]" caption="TaxType" attribute="1" defaultMemberUniqueName="[Transactions].[TaxType].[All]" allUniqueName="[Transactions].[TaxType].[All]" dimensionUniqueName="[Transactions]" displayFolder="" count="2" unbalanced="0"/>
    <cacheHierarchy uniqueName="[Transactions].[Years]" caption="Years" attribute="1" defaultMemberUniqueName="[Transactions].[Years].[All]" allUniqueName="[Transactions].[Years].[All]" dimensionUniqueName="[Transactions]" displayFolder="" count="2" unbalanced="0"/>
    <cacheHierarchy uniqueName="[Measures].[Filtered]" caption="Filtered" measure="1" displayFolder="" measureGroup="Accounts" count="0"/>
    <cacheHierarchy uniqueName="[Measures].[Total Revenue]" caption="Total Revenue" measure="1" displayFolder="" measureGroup="Transactions" count="0"/>
    <cacheHierarchy uniqueName="[Measures].[%Sales]" caption="%Sales" measure="1" displayFolder="" measureGroup="Transactions" count="0"/>
    <cacheHierarchy uniqueName="[Measures].[ACT]" caption="ACT" measure="1" displayFolder="" measureGroup="Transactions" count="0"/>
    <cacheHierarchy uniqueName="[Measures].[VAR]" caption="VAR" measure="1" displayFolder="" measureGroup="Transactions" count="0"/>
    <cacheHierarchy uniqueName="[Measures].[VAR %]" caption="VAR %" measure="1" displayFolder="" measureGroup="Transactions" count="0"/>
    <cacheHierarchy uniqueName="[Measures].[PY ACT]" caption="PY ACT" measure="1" displayFolder="" measureGroup="Transactions" count="0"/>
    <cacheHierarchy uniqueName="[Measures].[YTD ACT]" caption="YTD ACT" measure="1" displayFolder="" measureGroup="Transactions" count="0"/>
    <cacheHierarchy uniqueName="[Measures].[Running Total]" caption="Running Total" measure="1" displayFolder="" measureGroup="Transactions" count="0"/>
    <cacheHierarchy uniqueName="[Measures].[Report Value]" caption="Report Value" measure="1" displayFolder="" measureGroup="Transactions" count="0"/>
    <cacheHierarchy uniqueName="[Measures].[Balance sheet]" caption="Balance sheet" measure="1" displayFolder="" measureGroup="Transactions" count="0"/>
    <cacheHierarchy uniqueName="[Measures].[showYear]" caption="showYear" measure="1" displayFolder="" measureGroup="Transactions" count="0"/>
    <cacheHierarchy uniqueName="[Measures].[BUD]" caption="BUD" measure="1" displayFolder="" measureGroup="Transactions" count="0"/>
    <cacheHierarchy uniqueName="[Measures].[Asymmetric]" caption="Asymmetric" measure="1" displayFolder="" measureGroup="Transactions" count="0"/>
    <cacheHierarchy uniqueName="[Measures].[Rolling Forecast]" caption="Rolling Forecast" measure="1" displayFolder="" measureGroup="Transactions" count="0"/>
    <cacheHierarchy uniqueName="[Measures].[DAX ACT ex Calender]" caption="DAX ACT ex Calender" measure="1" displayFolder="" measureGroup="Transactions" count="0"/>
    <cacheHierarchy uniqueName="[Measures].[Header Order]" caption="Header Order" measure="1" displayFolder="" measureGroup="Report Structure" count="0"/>
    <cacheHierarchy uniqueName="[Measures].[__Default measure]" caption="__Default measure" measure="1" displayFolder="" count="0" hidden="1"/>
  </cacheHierarchies>
  <kpis count="0"/>
  <tupleCache>
    <entries count="750">
      <n v="-3269.1513530000002" in="0">
        <tpls c="5">
          <tpl fld="3" item="8"/>
          <tpl hier="15" item="0"/>
          <tpl fld="2" item="3"/>
          <tpl fld="1" item="0"/>
          <tpl hier="68" item="1"/>
        </tpls>
      </n>
      <n v="0" in="0">
        <tpls c="5">
          <tpl fld="3" item="10"/>
          <tpl hier="15" item="0"/>
          <tpl fld="2" item="0"/>
          <tpl fld="1" item="0"/>
          <tpl hier="68" item="1"/>
        </tpls>
      </n>
      <n v="-424.49958600000002" in="0">
        <tpls c="5">
          <tpl fld="3" item="15"/>
          <tpl hier="15" item="0"/>
          <tpl fld="2" item="0"/>
          <tpl fld="1" item="0"/>
          <tpl hier="68" item="1"/>
        </tpls>
      </n>
      <n v="-2302.3721750000004" in="0">
        <tpls c="5">
          <tpl fld="3" item="16"/>
          <tpl hier="15" item="0"/>
          <tpl fld="2" item="0"/>
          <tpl fld="1" item="0"/>
          <tpl hier="68" item="1"/>
        </tpls>
      </n>
      <n v="-2382.4804772340003" in="0">
        <tpls c="5">
          <tpl fld="3" item="8"/>
          <tpl hier="15" item="0"/>
          <tpl fld="2" item="3"/>
          <tpl fld="1" item="1"/>
          <tpl hier="68" item="1"/>
        </tpls>
      </n>
      <n v="-2864.8646545955799" in="0">
        <tpls c="5">
          <tpl fld="3" item="18"/>
          <tpl hier="15" item="0"/>
          <tpl fld="2" item="0"/>
          <tpl fld="1" item="1"/>
          <tpl hier="68" item="1"/>
        </tpls>
      </n>
      <n v="-1779.0610999999999" in="0">
        <tpls c="5">
          <tpl fld="3" item="12"/>
          <tpl hier="15" item="0"/>
          <tpl fld="2" item="0"/>
          <tpl fld="1" item="0"/>
          <tpl hier="68" item="1"/>
        </tpls>
      </n>
      <n v="-1934.4926951900002" in="0">
        <tpls c="5">
          <tpl fld="3" item="9"/>
          <tpl hier="15" item="0"/>
          <tpl fld="2" item="0"/>
          <tpl fld="1" item="1"/>
          <tpl hier="68" item="1"/>
        </tpls>
      </n>
      <n v="-232.18116425870002" in="0">
        <tpls c="5">
          <tpl fld="3" item="4"/>
          <tpl hier="15" item="0"/>
          <tpl fld="2" item="0"/>
          <tpl fld="1" item="1"/>
          <tpl hier="68" item="1"/>
        </tpls>
      </n>
      <n v="-1505.6413990000001" in="0">
        <tpls c="5">
          <tpl fld="3" item="3"/>
          <tpl hier="15" item="0"/>
          <tpl fld="2" item="0"/>
          <tpl fld="1" item="0"/>
          <tpl hier="68" item="1"/>
        </tpls>
      </n>
      <n v="-611.00477799999999" in="0">
        <tpls c="5">
          <tpl fld="3" item="21"/>
          <tpl hier="15" item="0"/>
          <tpl fld="2" item="0"/>
          <tpl fld="1" item="0"/>
          <tpl hier="68" item="1"/>
        </tpls>
      </n>
      <n v="97.05" in="0">
        <tpls c="5">
          <tpl fld="3" item="2"/>
          <tpl hier="15" item="0"/>
          <tpl fld="2" item="1"/>
          <tpl fld="1" item="0"/>
          <tpl hier="68" item="1"/>
        </tpls>
      </n>
      <n v="-2531.415152" in="0">
        <tpls c="5">
          <tpl fld="3" item="18"/>
          <tpl hier="15" item="0"/>
          <tpl fld="2" item="0"/>
          <tpl fld="1" item="0"/>
          <tpl hier="68" item="1"/>
        </tpls>
      </n>
      <n v="-4090.91" in="0">
        <tpls c="5">
          <tpl fld="3" item="22"/>
          <tpl hier="15" item="0"/>
          <tpl fld="2" item="0"/>
          <tpl fld="1" item="0"/>
          <tpl hier="68" item="1"/>
        </tpls>
      </n>
      <n v="-55595.547158000001" in="0">
        <tpls c="4">
          <tpl hier="15" item="0"/>
          <tpl fld="2" item="4"/>
          <tpl fld="1" item="0"/>
          <tpl hier="68" item="1"/>
        </tpls>
      </n>
      <n v="-17518.969991000005" in="0">
        <tpls c="5">
          <tpl fld="3" item="0"/>
          <tpl hier="15" item="0"/>
          <tpl fld="2" item="0"/>
          <tpl fld="1" item="0"/>
          <tpl hier="68" item="1"/>
        </tpls>
      </n>
      <n v="-1853.8916439999998" in="0">
        <tpls c="5">
          <tpl fld="3" item="9"/>
          <tpl hier="15" item="0"/>
          <tpl fld="2" item="0"/>
          <tpl fld="1" item="0"/>
          <tpl hier="68" item="1"/>
        </tpls>
      </n>
      <n v="-393.48121659999998" in="0">
        <tpls c="5">
          <tpl fld="3" item="19"/>
          <tpl hier="15" item="0"/>
          <tpl fld="2" item="0"/>
          <tpl fld="1" item="1"/>
          <tpl hier="68" item="1"/>
        </tpls>
      </n>
      <n v="-4394.9047240000036" in="0">
        <tpls c="4">
          <tpl hier="15" item="0"/>
          <tpl hier="17" item="4294967295"/>
          <tpl fld="1" item="0"/>
          <tpl hier="68" item="1"/>
        </tpls>
      </n>
      <n v="-150.46836750000006" in="0">
        <tpls c="5">
          <tpl fld="3" item="24"/>
          <tpl hier="15" item="0"/>
          <tpl fld="2" item="0"/>
          <tpl fld="1" item="1"/>
          <tpl hier="68" item="1"/>
        </tpls>
      </n>
      <n v="-450.64362600000004" in="0">
        <tpls c="5">
          <tpl fld="3" item="6"/>
          <tpl hier="15" item="0"/>
          <tpl fld="2" item="0"/>
          <tpl fld="1" item="0"/>
          <tpl hier="68" item="1"/>
        </tpls>
      </n>
      <n v="-2006.1343199999999" in="0">
        <tpls c="5">
          <tpl fld="3" item="7"/>
          <tpl hier="15" item="0"/>
          <tpl fld="2" item="0"/>
          <tpl fld="1" item="0"/>
          <tpl hier="68" item="1"/>
        </tpls>
      </n>
      <n v="-136.78942500000002" in="0">
        <tpls c="5">
          <tpl fld="3" item="24"/>
          <tpl hier="15" item="0"/>
          <tpl fld="2" item="0"/>
          <tpl fld="1" item="0"/>
          <tpl hier="68" item="1"/>
        </tpls>
      </n>
      <n v="-387.301106" in="0">
        <tpls c="5">
          <tpl fld="3" item="19"/>
          <tpl hier="15" item="0"/>
          <tpl fld="2" item="0"/>
          <tpl fld="1" item="0"/>
          <tpl hier="68" item="1"/>
        </tpls>
      </n>
      <n v="106.75500000000001" in="0">
        <tpls c="4">
          <tpl hier="15" item="0"/>
          <tpl fld="2" item="1"/>
          <tpl fld="1" item="1"/>
          <tpl hier="68" item="1"/>
        </tpls>
      </n>
      <n v="106.75500000000001" in="0">
        <tpls c="5">
          <tpl fld="3" item="2"/>
          <tpl hier="15" item="0"/>
          <tpl fld="2" item="1"/>
          <tpl fld="1" item="1"/>
          <tpl hier="68" item="1"/>
        </tpls>
      </n>
      <n v="-120" in="0">
        <tpls c="5">
          <tpl fld="3" item="11"/>
          <tpl hier="15" item="0"/>
          <tpl fld="2" item="0"/>
          <tpl fld="1" item="1"/>
          <tpl hier="68" item="1"/>
        </tpls>
      </n>
      <n v="-76656.153932500049" in="0">
        <tpls c="4">
          <tpl hier="15" item="0"/>
          <tpl fld="2" item="4"/>
          <tpl fld="1" item="1"/>
          <tpl hier="68" item="1"/>
        </tpls>
      </n>
      <n v="-8769.7483329999995" in="0">
        <tpls c="4">
          <tpl hier="15" item="0"/>
          <tpl fld="2" item="3"/>
          <tpl fld="1" item="0"/>
          <tpl hier="68" item="1"/>
        </tpls>
      </n>
      <n v="-22724.11289579" in="0">
        <tpls c="5">
          <tpl fld="3" item="20"/>
          <tpl hier="15" item="0"/>
          <tpl fld="2" item="0"/>
          <tpl fld="1" item="1"/>
          <tpl hier="68" item="1"/>
        </tpls>
      </n>
      <n v="-5000" in="0">
        <tpls c="5">
          <tpl fld="3" item="22"/>
          <tpl hier="15" item="0"/>
          <tpl fld="2" item="0"/>
          <tpl fld="1" item="1"/>
          <tpl hier="68" item="1"/>
        </tpls>
      </n>
      <n v="-120" in="0">
        <tpls c="5">
          <tpl fld="3" item="11"/>
          <tpl hier="15" item="0"/>
          <tpl fld="2" item="0"/>
          <tpl fld="1" item="0"/>
          <tpl hier="68" item="1"/>
        </tpls>
      </n>
      <n v="-431.14102409066504" in="0">
        <tpls c="5">
          <tpl fld="3" item="6"/>
          <tpl hier="15" item="0"/>
          <tpl fld="2" item="0"/>
          <tpl fld="1" item="1"/>
          <tpl hier="68" item="1"/>
        </tpls>
      </n>
      <n v="97.05" in="0">
        <tpls c="4">
          <tpl hier="15" item="0"/>
          <tpl fld="2" item="1"/>
          <tpl fld="1" item="0"/>
          <tpl hier="68" item="1"/>
        </tpls>
      </n>
      <n v="-8258.9049673340014" in="0">
        <tpls c="4">
          <tpl hier="15" item="0"/>
          <tpl fld="2" item="3"/>
          <tpl fld="1" item="1"/>
          <tpl hier="68" item="1"/>
        </tpls>
      </n>
      <n v="-256.72378600000002" in="0">
        <tpls c="5">
          <tpl fld="3" item="4"/>
          <tpl hier="15" item="0"/>
          <tpl fld="2" item="0"/>
          <tpl fld="1" item="0"/>
          <tpl hier="68" item="1"/>
        </tpls>
      </n>
      <n v="-1634.463878" in="0">
        <tpls c="5">
          <tpl fld="3" item="13"/>
          <tpl hier="15" item="0"/>
          <tpl fld="2" item="0"/>
          <tpl fld="1" item="0"/>
          <tpl hier="68" item="1"/>
        </tpls>
      </n>
      <n v="-1095.5646558000001" in="0">
        <tpls c="5">
          <tpl fld="3" item="1"/>
          <tpl hier="15" item="0"/>
          <tpl fld="2" item="0"/>
          <tpl fld="1" item="1"/>
          <tpl hier="68" item="1"/>
        </tpls>
      </n>
      <n v="-2281.0683924999998" in="0">
        <tpls c="5">
          <tpl fld="3" item="16"/>
          <tpl hier="15" item="0"/>
          <tpl fld="2" item="0"/>
          <tpl fld="1" item="1"/>
          <tpl hier="68" item="1"/>
        </tpls>
      </n>
      <n v="156879.70847800004" in="0">
        <tpls c="5">
          <tpl fld="3" item="5"/>
          <tpl hier="15" item="0"/>
          <tpl fld="2" item="2"/>
          <tpl fld="1" item="0"/>
          <tpl hier="68" item="1"/>
        </tpls>
      </n>
      <n v="163184.87871700004" in="0">
        <tpls c="4">
          <tpl hier="15" item="0"/>
          <tpl fld="2" item="2"/>
          <tpl fld="1" item="0"/>
          <tpl hier="68" item="1"/>
        </tpls>
      </n>
      <m in="0">
        <tpls c="5">
          <tpl fld="3" item="14"/>
          <tpl hier="15" item="0"/>
          <tpl fld="2" item="2"/>
          <tpl fld="1" item="1"/>
          <tpl hier="68" item="1"/>
        </tpls>
      </m>
      <n v="-1034.0587779999998" in="0">
        <tpls c="5">
          <tpl fld="3" item="1"/>
          <tpl hier="15" item="0"/>
          <tpl fld="2" item="0"/>
          <tpl fld="1" item="0"/>
          <tpl hier="68" item="1"/>
        </tpls>
      </n>
      <n v="183765.67821193719" in="0">
        <tpls c="5">
          <tpl fld="3" item="5"/>
          <tpl hier="15" item="0"/>
          <tpl fld="2" item="2"/>
          <tpl fld="1" item="1"/>
          <tpl hier="68" item="1"/>
        </tpls>
      </n>
      <n v="-40200" in="0">
        <tpls c="5">
          <tpl fld="3" item="17"/>
          <tpl hier="15" item="0"/>
          <tpl fld="2" item="0"/>
          <tpl fld="1" item="0"/>
          <tpl hier="68" item="1"/>
        </tpls>
      </n>
      <m in="0">
        <tpls c="5">
          <tpl fld="3" item="14"/>
          <tpl hier="15" item="0"/>
          <tpl fld="2" item="2"/>
          <tpl fld="1" item="0"/>
          <tpl hier="68" item="1"/>
        </tpls>
      </m>
      <n v="-21945.21977" in="0">
        <tpls c="5">
          <tpl fld="3" item="20"/>
          <tpl hier="15" item="0"/>
          <tpl fld="2" item="0"/>
          <tpl fld="1" item="0"/>
          <tpl hier="68" item="1"/>
        </tpls>
      </n>
      <n v="-1551.7325389000002" in="0">
        <tpls c="5">
          <tpl fld="3" item="3"/>
          <tpl hier="15" item="0"/>
          <tpl fld="2" item="0"/>
          <tpl fld="1" item="1"/>
          <tpl hier="68" item="1"/>
        </tpls>
      </n>
      <n v="0" in="0">
        <tpls c="5">
          <tpl fld="3" item="10"/>
          <tpl hier="15" item="0"/>
          <tpl fld="2" item="0"/>
          <tpl fld="1" item="1"/>
          <tpl hier="68" item="1"/>
        </tpls>
      </n>
      <n v="-2015.17049534649" in="0">
        <tpls c="5">
          <tpl fld="3" item="7"/>
          <tpl hier="15" item="0"/>
          <tpl fld="2" item="0"/>
          <tpl fld="1" item="1"/>
          <tpl hier="68" item="1"/>
        </tpls>
      </n>
      <n v="-19769.665990100002" in="0">
        <tpls c="5">
          <tpl fld="3" item="0"/>
          <tpl hier="15" item="0"/>
          <tpl fld="2" item="0"/>
          <tpl fld="1" item="1"/>
          <tpl hier="68" item="1"/>
        </tpls>
      </n>
      <n v="9417.5645164403068" in="0">
        <tpls c="4">
          <tpl hier="15" item="0"/>
          <tpl hier="17" item="4294967295"/>
          <tpl fld="1" item="1"/>
          <tpl hier="68" item="1"/>
        </tpls>
      </n>
      <n v="-28710" in="0">
        <tpls c="5">
          <tpl fld="3" item="17"/>
          <tpl hier="15" item="0"/>
          <tpl fld="2" item="0"/>
          <tpl fld="1" item="1"/>
          <tpl hier="68" item="1"/>
        </tpls>
      </n>
      <n v="-625.60525580000001" in="0">
        <tpls c="5">
          <tpl fld="3" item="21"/>
          <tpl hier="15" item="0"/>
          <tpl fld="2" item="0"/>
          <tpl fld="1" item="1"/>
          <tpl hier="68" item="1"/>
        </tpls>
      </n>
      <n v="-2522.4374359999997" in="0">
        <tpls c="5">
          <tpl fld="3" item="23"/>
          <tpl hier="15" item="0"/>
          <tpl fld="2" item="0"/>
          <tpl fld="1" item="0"/>
          <tpl hier="68" item="1"/>
        </tpls>
      </n>
      <n v="-2774.6811796000002" in="0">
        <tpls c="5">
          <tpl fld="3" item="23"/>
          <tpl hier="15" item="0"/>
          <tpl fld="2" item="0"/>
          <tpl fld="1" item="1"/>
          <tpl hier="68" item="1"/>
        </tpls>
      </n>
      <n v="-1489.2007778915201" in="0">
        <tpls c="5">
          <tpl fld="3" item="13"/>
          <tpl hier="15" item="0"/>
          <tpl fld="2" item="0"/>
          <tpl fld="1" item="1"/>
          <tpl hier="68" item="1"/>
        </tpls>
      </n>
      <n v="-5500.5969799999993" in="0">
        <tpls c="5">
          <tpl fld="3" item="25"/>
          <tpl hier="15" item="0"/>
          <tpl fld="2" item="3"/>
          <tpl fld="1" item="0"/>
          <tpl hier="68" item="1"/>
        </tpls>
      </n>
      <n v="-5876.4244901000002" in="0">
        <tpls c="5">
          <tpl fld="3" item="25"/>
          <tpl hier="15" item="0"/>
          <tpl fld="2" item="3"/>
          <tpl fld="1" item="1"/>
          <tpl hier="68" item="1"/>
        </tpls>
      </n>
      <n v="-1869.07221" in="0">
        <tpls c="5">
          <tpl fld="3" item="12"/>
          <tpl hier="15" item="0"/>
          <tpl fld="2" item="0"/>
          <tpl fld="1" item="1"/>
          <tpl hier="68" item="1"/>
        </tpls>
      </n>
      <n v="-442.99354460000006" in="0">
        <tpls c="5">
          <tpl fld="3" item="15"/>
          <tpl hier="15" item="0"/>
          <tpl fld="2" item="0"/>
          <tpl fld="1" item="1"/>
          <tpl hier="68" item="1"/>
        </tpls>
      </n>
      <n v="190701.36547483719" in="0">
        <tpls c="4">
          <tpl hier="15" item="0"/>
          <tpl fld="2" item="2"/>
          <tpl fld="1" item="1"/>
          <tpl hier="68" item="1"/>
        </tpls>
      </n>
      <n v="-103311.53795000001" in="0">
        <tpls c="4">
          <tpl hier="15" item="0"/>
          <tpl fld="2" item="0"/>
          <tpl fld="1" item="0"/>
          <tpl hier="68" item="1"/>
        </tpls>
      </n>
      <n v="-96475.49705856292" in="0">
        <tpls c="4">
          <tpl hier="15" item="0"/>
          <tpl fld="2" item="0"/>
          <tpl fld="1" item="1"/>
          <tpl hier="68" item="1"/>
        </tpls>
      </n>
      <m in="0">
        <tpls c="7">
          <tpl fld="3" item="14"/>
          <tpl hier="15" item="0"/>
          <tpl fld="2" item="2"/>
          <tpl hier="45" item="2"/>
          <tpl fld="4" item="1"/>
          <tpl fld="1" item="0"/>
          <tpl hier="68" item="1"/>
        </tpls>
      </m>
      <m in="0">
        <tpls c="7">
          <tpl fld="3" item="8"/>
          <tpl hier="15" item="0"/>
          <tpl fld="2" item="3"/>
          <tpl hier="45" item="2"/>
          <tpl fld="4" item="2"/>
          <tpl fld="1" item="1"/>
          <tpl hier="68" item="1"/>
        </tpls>
      </m>
      <n v="1659.6210719999999" in="0">
        <tpls c="6">
          <tpl hier="15" item="0"/>
          <tpl hier="17" item="4294967295"/>
          <tpl hier="45" item="2"/>
          <tpl fld="4" item="0"/>
          <tpl fld="1" item="0"/>
          <tpl hier="68" item="1"/>
        </tpls>
      </n>
      <m in="0">
        <tpls c="7">
          <tpl fld="3" item="8"/>
          <tpl hier="15" item="0"/>
          <tpl fld="2" item="3"/>
          <tpl hier="45" item="2"/>
          <tpl fld="4" item="2"/>
          <tpl fld="1" item="0"/>
          <tpl hier="68" item="1"/>
        </tpls>
      </m>
      <n v="4259.2535739999958" in="0">
        <tpls c="6">
          <tpl hier="15" item="0"/>
          <tpl hier="17" item="4294967295"/>
          <tpl hier="45" item="2"/>
          <tpl fld="4" item="2"/>
          <tpl fld="1" item="0"/>
          <tpl hier="68" item="1"/>
        </tpls>
      </n>
      <m in="0">
        <tpls c="7">
          <tpl fld="3" item="7"/>
          <tpl hier="15" item="0"/>
          <tpl fld="2" item="0"/>
          <tpl hier="45" item="2"/>
          <tpl fld="4" item="2"/>
          <tpl fld="1" item="1"/>
          <tpl hier="68" item="1"/>
        </tpls>
      </m>
      <n v="14537.607884000003" in="0">
        <tpls c="6">
          <tpl hier="15" item="0"/>
          <tpl hier="17" item="4294967295"/>
          <tpl hier="45" item="2"/>
          <tpl fld="4" item="3"/>
          <tpl fld="1" item="0"/>
          <tpl hier="68" item="1"/>
        </tpls>
      </n>
      <n v="-16986.508481999997" in="0">
        <tpls c="6">
          <tpl hier="15" item="0"/>
          <tpl fld="2" item="0"/>
          <tpl hier="45" item="2"/>
          <tpl fld="4" item="1"/>
          <tpl fld="1" item="0"/>
          <tpl hier="68" item="1"/>
        </tpls>
      </n>
      <n v="-166.05365" in="0">
        <tpls c="7">
          <tpl fld="3" item="13"/>
          <tpl hier="15" item="0"/>
          <tpl fld="2" item="0"/>
          <tpl hier="45" item="2"/>
          <tpl fld="4" item="2"/>
          <tpl fld="1" item="0"/>
          <tpl hier="68" item="1"/>
        </tpls>
      </n>
      <n v="-102.06373600000001" in="0">
        <tpls c="7">
          <tpl fld="3" item="6"/>
          <tpl hier="15" item="0"/>
          <tpl fld="2" item="0"/>
          <tpl hier="45" item="2"/>
          <tpl fld="4" item="1"/>
          <tpl fld="1" item="0"/>
          <tpl hier="68" item="1"/>
        </tpls>
      </n>
      <n v="-61.308732999999997" in="0">
        <tpls c="7">
          <tpl fld="3" item="13"/>
          <tpl hier="15" item="0"/>
          <tpl fld="2" item="0"/>
          <tpl hier="45" item="2"/>
          <tpl fld="4" item="3"/>
          <tpl fld="1" item="0"/>
          <tpl hier="68" item="1"/>
        </tpls>
      </n>
      <m in="0">
        <tpls c="7">
          <tpl fld="3" item="14"/>
          <tpl hier="15" item="0"/>
          <tpl fld="2" item="2"/>
          <tpl hier="45" item="2"/>
          <tpl fld="4" item="2"/>
          <tpl fld="1" item="0"/>
          <tpl hier="68" item="1"/>
        </tpls>
      </m>
      <m in="0">
        <tpls c="7">
          <tpl fld="3" item="6"/>
          <tpl hier="15" item="0"/>
          <tpl fld="2" item="0"/>
          <tpl hier="45" item="2"/>
          <tpl fld="4" item="2"/>
          <tpl fld="1" item="1"/>
          <tpl hier="68" item="1"/>
        </tpls>
      </m>
      <m in="0">
        <tpls c="7">
          <tpl fld="3" item="8"/>
          <tpl hier="15" item="0"/>
          <tpl fld="2" item="3"/>
          <tpl hier="45" item="2"/>
          <tpl fld="4" item="0"/>
          <tpl fld="1" item="0"/>
          <tpl hier="68" item="1"/>
        </tpls>
      </m>
      <n v="-10596.685985599999" in="0">
        <tpls c="6">
          <tpl hier="15" item="0"/>
          <tpl hier="17" item="4294967295"/>
          <tpl hier="45" item="2"/>
          <tpl fld="4" item="2"/>
          <tpl fld="1" item="1"/>
          <tpl hier="68" item="1"/>
        </tpls>
      </n>
      <m in="0">
        <tpls c="7">
          <tpl fld="3" item="8"/>
          <tpl hier="15" item="0"/>
          <tpl fld="2" item="3"/>
          <tpl hier="45" item="2"/>
          <tpl fld="4" item="1"/>
          <tpl fld="1" item="0"/>
          <tpl hier="68" item="1"/>
        </tpls>
      </m>
      <n v="-182.65901500000001" in="0">
        <tpls c="7">
          <tpl fld="3" item="13"/>
          <tpl hier="15" item="0"/>
          <tpl fld="2" item="0"/>
          <tpl hier="45" item="2"/>
          <tpl fld="4" item="2"/>
          <tpl fld="1" item="1"/>
          <tpl hier="68" item="1"/>
        </tpls>
      </n>
      <n v="786.318173" in="0">
        <tpls c="6">
          <tpl hier="15" item="0"/>
          <tpl fld="2" item="2"/>
          <tpl hier="45" item="2"/>
          <tpl fld="4" item="4"/>
          <tpl fld="1" item="0"/>
          <tpl hier="68" item="1"/>
        </tpls>
      </n>
      <n v="-3629.5414419000008" in="0">
        <tpls c="7">
          <tpl fld="3" item="20"/>
          <tpl hier="15" item="0"/>
          <tpl fld="2" item="0"/>
          <tpl hier="45" item="2"/>
          <tpl fld="4" item="3"/>
          <tpl fld="1" item="1"/>
          <tpl hier="68" item="1"/>
        </tpls>
      </n>
      <n v="-20.891363999999999" in="0">
        <tpls c="6">
          <tpl hier="15" item="0"/>
          <tpl fld="2" item="0"/>
          <tpl hier="45" item="2"/>
          <tpl fld="4" item="0"/>
          <tpl fld="1" item="0"/>
          <tpl hier="68" item="1"/>
        </tpls>
      </n>
      <n v="0" in="0">
        <tpls c="7">
          <tpl fld="3" item="13"/>
          <tpl hier="15" item="0"/>
          <tpl fld="2" item="0"/>
          <tpl hier="45" item="2"/>
          <tpl fld="4" item="1"/>
          <tpl fld="1" item="0"/>
          <tpl hier="68" item="1"/>
        </tpls>
      </n>
      <m in="0">
        <tpls c="7">
          <tpl fld="3" item="20"/>
          <tpl hier="15" item="0"/>
          <tpl fld="2" item="0"/>
          <tpl hier="45" item="2"/>
          <tpl fld="4" item="0"/>
          <tpl fld="1" item="0"/>
          <tpl hier="68" item="1"/>
        </tpls>
      </m>
      <m in="0">
        <tpls c="7">
          <tpl fld="3" item="7"/>
          <tpl hier="15" item="0"/>
          <tpl fld="2" item="0"/>
          <tpl hier="45" item="2"/>
          <tpl fld="4" item="2"/>
          <tpl fld="1" item="0"/>
          <tpl hier="68" item="1"/>
        </tpls>
      </m>
      <m in="0">
        <tpls c="7">
          <tpl fld="3" item="9"/>
          <tpl hier="15" item="0"/>
          <tpl fld="2" item="0"/>
          <tpl hier="45" item="2"/>
          <tpl fld="4" item="0"/>
          <tpl fld="1" item="0"/>
          <tpl hier="68" item="1"/>
        </tpls>
      </m>
      <n v="-189.695156" in="0">
        <tpls c="6">
          <tpl hier="15" item="0"/>
          <tpl fld="2" item="4"/>
          <tpl hier="45" item="2"/>
          <tpl fld="4" item="0"/>
          <tpl fld="1" item="0"/>
          <tpl hier="68" item="1"/>
        </tpls>
      </n>
      <m in="0">
        <tpls c="6">
          <tpl hier="15" item="0"/>
          <tpl fld="2" item="0"/>
          <tpl hier="45" item="2"/>
          <tpl fld="4" item="4"/>
          <tpl fld="1" item="0"/>
          <tpl hier="68" item="1"/>
        </tpls>
      </m>
      <n v="1870.207592" in="0">
        <tpls c="6">
          <tpl hier="15" item="0"/>
          <tpl fld="2" item="2"/>
          <tpl hier="45" item="2"/>
          <tpl fld="4" item="0"/>
          <tpl fld="1" item="0"/>
          <tpl hier="68" item="1"/>
        </tpls>
      </n>
      <m in="0">
        <tpls c="7">
          <tpl fld="3" item="8"/>
          <tpl hier="15" item="0"/>
          <tpl fld="2" item="3"/>
          <tpl hier="45" item="2"/>
          <tpl fld="4" item="3"/>
          <tpl fld="1" item="0"/>
          <tpl hier="68" item="1"/>
        </tpls>
      </m>
      <n v="-2226.1769519999998" in="0">
        <tpls c="6">
          <tpl hier="15" item="0"/>
          <tpl fld="2" item="4"/>
          <tpl hier="45" item="2"/>
          <tpl fld="4" item="3"/>
          <tpl fld="1" item="0"/>
          <tpl hier="68" item="1"/>
        </tpls>
      </n>
      <m in="0">
        <tpls c="7">
          <tpl fld="3" item="18"/>
          <tpl hier="15" item="0"/>
          <tpl fld="2" item="0"/>
          <tpl hier="45" item="2"/>
          <tpl fld="4" item="2"/>
          <tpl fld="1" item="0"/>
          <tpl hier="68" item="1"/>
        </tpls>
      </m>
      <n v="-71.867852252900008" in="0">
        <tpls c="7">
          <tpl fld="3" item="4"/>
          <tpl hier="15" item="0"/>
          <tpl fld="2" item="0"/>
          <tpl hier="45" item="2"/>
          <tpl fld="4" item="3"/>
          <tpl fld="1" item="1"/>
          <tpl hier="68" item="1"/>
        </tpls>
      </n>
      <m in="0">
        <tpls c="7">
          <tpl fld="3" item="14"/>
          <tpl hier="15" item="0"/>
          <tpl fld="2" item="2"/>
          <tpl hier="45" item="2"/>
          <tpl fld="4" item="0"/>
          <tpl fld="1" item="0"/>
          <tpl hier="68" item="1"/>
        </tpls>
      </m>
      <n v="26476.522233700001" in="0">
        <tpls c="6">
          <tpl hier="15" item="0"/>
          <tpl fld="2" item="2"/>
          <tpl hier="45" item="2"/>
          <tpl fld="4" item="2"/>
          <tpl fld="1" item="1"/>
          <tpl hier="68" item="1"/>
        </tpls>
      </n>
      <m in="0">
        <tpls c="7">
          <tpl fld="3" item="14"/>
          <tpl hier="15" item="0"/>
          <tpl fld="2" item="2"/>
          <tpl hier="45" item="2"/>
          <tpl fld="4" item="3"/>
          <tpl fld="1" item="0"/>
          <tpl hier="68" item="1"/>
        </tpls>
      </m>
      <n v="24069.565666999999" in="0">
        <tpls c="6">
          <tpl hier="15" item="0"/>
          <tpl fld="2" item="2"/>
          <tpl hier="45" item="2"/>
          <tpl fld="4" item="2"/>
          <tpl fld="1" item="0"/>
          <tpl hier="68" item="1"/>
        </tpls>
      </n>
      <m in="0">
        <tpls c="7">
          <tpl fld="3" item="14"/>
          <tpl hier="15" item="0"/>
          <tpl fld="2" item="2"/>
          <tpl hier="45" item="2"/>
          <tpl fld="4" item="3"/>
          <tpl fld="1" item="1"/>
          <tpl hier="68" item="1"/>
        </tpls>
      </m>
      <n v="16576.177817000003" in="0">
        <tpls c="6">
          <tpl hier="15" item="0"/>
          <tpl fld="2" item="2"/>
          <tpl hier="45" item="2"/>
          <tpl fld="4" item="1"/>
          <tpl fld="1" item="0"/>
          <tpl hier="68" item="1"/>
        </tpls>
      </n>
      <m in="0">
        <tpls c="7">
          <tpl fld="3" item="7"/>
          <tpl hier="15" item="0"/>
          <tpl fld="2" item="0"/>
          <tpl hier="45" item="2"/>
          <tpl fld="4" item="3"/>
          <tpl fld="1" item="0"/>
          <tpl hier="68" item="1"/>
        </tpls>
      </m>
      <n v="-190.05472700000001" in="0">
        <tpls c="6">
          <tpl hier="15" item="0"/>
          <tpl fld="2" item="4"/>
          <tpl hier="45" item="2"/>
          <tpl fld="4" item="4"/>
          <tpl fld="1" item="0"/>
          <tpl hier="68" item="1"/>
        </tpls>
      </n>
      <n v="-7880.873364" in="0">
        <tpls c="6">
          <tpl hier="15" item="0"/>
          <tpl fld="2" item="0"/>
          <tpl hier="45" item="2"/>
          <tpl fld="4" item="3"/>
          <tpl fld="1" item="0"/>
          <tpl hier="68" item="1"/>
        </tpls>
      </n>
      <n v="-1466.5099540000001" in="0">
        <tpls c="6">
          <tpl hier="15" item="0"/>
          <tpl fld="2" item="0"/>
          <tpl hier="45" item="2"/>
          <tpl fld="4" item="2"/>
          <tpl fld="1" item="0"/>
          <tpl hier="68" item="1"/>
        </tpls>
      </n>
      <m in="0">
        <tpls c="7">
          <tpl fld="3" item="6"/>
          <tpl hier="15" item="0"/>
          <tpl fld="2" item="0"/>
          <tpl hier="45" item="2"/>
          <tpl fld="4" item="4"/>
          <tpl fld="1" item="0"/>
          <tpl hier="68" item="1"/>
        </tpls>
      </m>
      <m in="0">
        <tpls c="7">
          <tpl fld="3" item="6"/>
          <tpl hier="15" item="0"/>
          <tpl fld="2" item="0"/>
          <tpl hier="45" item="2"/>
          <tpl fld="4" item="2"/>
          <tpl fld="1" item="0"/>
          <tpl hier="68" item="1"/>
        </tpls>
      </m>
      <n v="-40.713182000000003" in="0">
        <tpls c="7">
          <tpl fld="3" item="4"/>
          <tpl hier="15" item="0"/>
          <tpl fld="2" item="0"/>
          <tpl hier="45" item="2"/>
          <tpl fld="4" item="1"/>
          <tpl fld="1" item="0"/>
          <tpl hier="68" item="1"/>
        </tpls>
      </n>
      <m in="0">
        <tpls c="7">
          <tpl fld="3" item="9"/>
          <tpl hier="15" item="0"/>
          <tpl fld="2" item="0"/>
          <tpl hier="45" item="2"/>
          <tpl fld="4" item="1"/>
          <tpl fld="1" item="0"/>
          <tpl hier="68" item="1"/>
        </tpls>
      </m>
      <n v="-7495.4589579999883" in="0">
        <tpls c="6">
          <tpl hier="15" item="0"/>
          <tpl hier="17" item="4294967295"/>
          <tpl hier="45" item="2"/>
          <tpl fld="4" item="1"/>
          <tpl fld="1" item="0"/>
          <tpl hier="68" item="1"/>
        </tpls>
      </n>
      <m in="0">
        <tpls c="7">
          <tpl fld="3" item="9"/>
          <tpl hier="15" item="0"/>
          <tpl fld="2" item="0"/>
          <tpl hier="45" item="2"/>
          <tpl fld="4" item="2"/>
          <tpl fld="1" item="0"/>
          <tpl hier="68" item="1"/>
        </tpls>
      </m>
      <n v="-40.099556999999997" in="0">
        <tpls c="7">
          <tpl fld="3" item="4"/>
          <tpl hier="15" item="0"/>
          <tpl fld="2" item="0"/>
          <tpl hier="45" item="2"/>
          <tpl fld="4" item="2"/>
          <tpl fld="1" item="0"/>
          <tpl hier="68" item="1"/>
        </tpls>
      </n>
      <m in="0">
        <tpls c="7">
          <tpl fld="3" item="4"/>
          <tpl hier="15" item="0"/>
          <tpl fld="2" item="0"/>
          <tpl hier="45" item="2"/>
          <tpl fld="4" item="0"/>
          <tpl fld="1" item="0"/>
          <tpl hier="68" item="1"/>
        </tpls>
      </m>
      <m in="0">
        <tpls c="7">
          <tpl fld="3" item="6"/>
          <tpl hier="15" item="0"/>
          <tpl fld="2" item="0"/>
          <tpl hier="45" item="2"/>
          <tpl fld="4" item="0"/>
          <tpl fld="1" item="0"/>
          <tpl hier="68" item="1"/>
        </tpls>
      </m>
      <m in="0">
        <tpls c="7">
          <tpl fld="3" item="7"/>
          <tpl hier="15" item="0"/>
          <tpl fld="2" item="0"/>
          <tpl hier="45" item="2"/>
          <tpl fld="4" item="0"/>
          <tpl fld="1" item="0"/>
          <tpl hier="68" item="1"/>
        </tpls>
      </m>
      <m in="0">
        <tpls c="7">
          <tpl fld="3" item="7"/>
          <tpl hier="15" item="0"/>
          <tpl fld="2" item="0"/>
          <tpl hier="45" item="2"/>
          <tpl fld="4" item="4"/>
          <tpl fld="1" item="0"/>
          <tpl hier="68" item="1"/>
        </tpls>
      </m>
      <m in="0">
        <tpls c="7">
          <tpl fld="3" item="7"/>
          <tpl hier="15" item="0"/>
          <tpl fld="2" item="0"/>
          <tpl hier="45" item="2"/>
          <tpl fld="4" item="1"/>
          <tpl fld="1" item="0"/>
          <tpl hier="68" item="1"/>
        </tpls>
      </m>
      <n v="-1527.2310751500004" in="0">
        <tpls c="7">
          <tpl fld="3" item="8"/>
          <tpl hier="15" item="0"/>
          <tpl fld="2" item="3"/>
          <tpl hier="45" item="2"/>
          <tpl fld="4" item="3"/>
          <tpl fld="1" item="1"/>
          <tpl hier="68" item="1"/>
        </tpls>
      </n>
      <m in="0">
        <tpls c="7">
          <tpl fld="3" item="8"/>
          <tpl hier="15" item="0"/>
          <tpl fld="2" item="3"/>
          <tpl hier="45" item="2"/>
          <tpl fld="4" item="4"/>
          <tpl fld="1" item="0"/>
          <tpl hier="68" item="1"/>
        </tpls>
      </m>
      <n v="24644.658199999998" in="0">
        <tpls c="6">
          <tpl hier="15" item="0"/>
          <tpl fld="2" item="2"/>
          <tpl hier="45" item="2"/>
          <tpl fld="4" item="3"/>
          <tpl fld="1" item="0"/>
          <tpl hier="68" item="1"/>
        </tpls>
      </n>
      <n v="24644.658200000002" in="0">
        <tpls c="6">
          <tpl hier="15" item="0"/>
          <tpl fld="2" item="2"/>
          <tpl hier="45" item="2"/>
          <tpl fld="4" item="3"/>
          <tpl fld="1" item="1"/>
          <tpl hier="68" item="1"/>
        </tpls>
      </n>
      <n v="-1613.1609493999999" in="0">
        <tpls c="6">
          <tpl hier="15" item="0"/>
          <tpl fld="2" item="0"/>
          <tpl hier="45" item="2"/>
          <tpl fld="4" item="2"/>
          <tpl fld="1" item="1"/>
          <tpl hier="68" item="1"/>
        </tpls>
      </n>
      <m in="0">
        <tpls c="7">
          <tpl fld="3" item="9"/>
          <tpl hier="15" item="0"/>
          <tpl fld="2" item="0"/>
          <tpl hier="45" item="2"/>
          <tpl fld="4" item="2"/>
          <tpl fld="1" item="1"/>
          <tpl hier="68" item="1"/>
        </tpls>
      </m>
      <n v="-44.109512700000003" in="0">
        <tpls c="7">
          <tpl fld="3" item="4"/>
          <tpl hier="15" item="0"/>
          <tpl fld="2" item="0"/>
          <tpl hier="45" item="2"/>
          <tpl fld="4" item="2"/>
          <tpl fld="1" item="1"/>
          <tpl hier="68" item="1"/>
        </tpls>
      </n>
      <m in="0">
        <tpls c="7">
          <tpl fld="3" item="14"/>
          <tpl hier="15" item="0"/>
          <tpl fld="2" item="2"/>
          <tpl hier="45" item="2"/>
          <tpl fld="4" item="2"/>
          <tpl fld="1" item="1"/>
          <tpl hier="68" item="1"/>
        </tpls>
      </m>
      <n v="-38.492167999999999" in="0">
        <tpls c="7">
          <tpl fld="3" item="4"/>
          <tpl hier="15" item="0"/>
          <tpl fld="2" item="0"/>
          <tpl hier="45" item="2"/>
          <tpl fld="4" item="3"/>
          <tpl fld="1" item="0"/>
          <tpl hier="68" item="1"/>
        </tpls>
      </n>
      <n v="-28.816033000000001" in="0">
        <tpls c="7">
          <tpl fld="3" item="6"/>
          <tpl hier="15" item="0"/>
          <tpl fld="2" item="0"/>
          <tpl hier="45" item="2"/>
          <tpl fld="4" item="3"/>
          <tpl fld="1" item="0"/>
          <tpl hier="68" item="1"/>
        </tpls>
      </n>
      <m in="0">
        <tpls c="7">
          <tpl fld="3" item="9"/>
          <tpl hier="15" item="0"/>
          <tpl fld="2" item="0"/>
          <tpl hier="45" item="2"/>
          <tpl fld="4" item="3"/>
          <tpl fld="1" item="0"/>
          <tpl hier="68" item="1"/>
        </tpls>
      </m>
      <m in="0">
        <tpls c="7">
          <tpl fld="3" item="14"/>
          <tpl hier="15" item="0"/>
          <tpl fld="2" item="2"/>
          <tpl hier="45" item="2"/>
          <tpl fld="4" item="4"/>
          <tpl fld="1" item="0"/>
          <tpl hier="68" item="1"/>
        </tpls>
      </m>
      <m in="0">
        <tpls c="7">
          <tpl fld="3" item="4"/>
          <tpl hier="15" item="0"/>
          <tpl fld="2" item="0"/>
          <tpl hier="45" item="2"/>
          <tpl fld="4" item="4"/>
          <tpl fld="1" item="0"/>
          <tpl hier="68" item="1"/>
        </tpls>
      </m>
      <m in="0">
        <tpls c="7">
          <tpl fld="3" item="9"/>
          <tpl hier="15" item="0"/>
          <tpl fld="2" item="0"/>
          <tpl hier="45" item="2"/>
          <tpl fld="4" item="4"/>
          <tpl fld="1" item="0"/>
          <tpl hier="68" item="1"/>
        </tpls>
      </m>
      <m in="0">
        <tpls c="7">
          <tpl fld="3" item="13"/>
          <tpl hier="15" item="0"/>
          <tpl fld="2" item="0"/>
          <tpl hier="45" item="2"/>
          <tpl fld="4" item="4"/>
          <tpl fld="1" item="0"/>
          <tpl hier="68" item="1"/>
        </tpls>
      </m>
      <n v="596.26344599999993" in="0">
        <tpls c="6">
          <tpl hier="15" item="0"/>
          <tpl hier="17" item="4294967295"/>
          <tpl hier="45" item="2"/>
          <tpl fld="4" item="4"/>
          <tpl fld="1" item="0"/>
          <tpl hier="68" item="1"/>
        </tpls>
      </n>
      <m in="0">
        <tpls c="7">
          <tpl fld="3" item="20"/>
          <tpl hier="15" item="0"/>
          <tpl fld="2" item="0"/>
          <tpl hier="45" item="2"/>
          <tpl fld="4" item="4"/>
          <tpl fld="1" item="0"/>
          <tpl hier="68" item="1"/>
        </tpls>
      </m>
      <n v="-3063.9337340000002" in="0">
        <tpls c="7">
          <tpl fld="3" item="20"/>
          <tpl hier="15" item="0"/>
          <tpl fld="2" item="0"/>
          <tpl hier="45" item="2"/>
          <tpl fld="4" item="1"/>
          <tpl fld="1" item="0"/>
          <tpl hier="68" item="1"/>
        </tpls>
      </n>
      <n v="-1448.393947" in="0">
        <tpls c="7">
          <tpl fld="3" item="20"/>
          <tpl hier="15" item="0"/>
          <tpl fld="2" item="0"/>
          <tpl hier="45" item="2"/>
          <tpl fld="4" item="3"/>
          <tpl fld="1" item="0"/>
          <tpl hier="68" item="1"/>
        </tpls>
      </n>
      <n v="0" in="0">
        <tpls c="7">
          <tpl fld="3" item="20"/>
          <tpl hier="15" item="0"/>
          <tpl fld="2" item="0"/>
          <tpl hier="45" item="2"/>
          <tpl fld="4" item="2"/>
          <tpl fld="1" item="1"/>
          <tpl hier="68" item="1"/>
        </tpls>
      </n>
      <n v="0" in="0">
        <tpls c="7">
          <tpl fld="3" item="20"/>
          <tpl hier="15" item="0"/>
          <tpl fld="2" item="0"/>
          <tpl hier="45" item="2"/>
          <tpl fld="4" item="2"/>
          <tpl fld="1" item="0"/>
          <tpl hier="68" item="1"/>
        </tpls>
      </n>
      <n v="-7085.1282930000007" in="0">
        <tpls c="6">
          <tpl hier="15" item="0"/>
          <tpl fld="2" item="4"/>
          <tpl hier="45" item="2"/>
          <tpl fld="4" item="1"/>
          <tpl fld="1" item="0"/>
          <tpl hier="68" item="1"/>
        </tpls>
      </n>
      <n v="-14949.127038000008" in="0">
        <tpls c="6">
          <tpl hier="15" item="0"/>
          <tpl fld="2" item="4"/>
          <tpl hier="45" item="2"/>
          <tpl fld="4" item="2"/>
          <tpl fld="1" item="0"/>
          <tpl hier="68" item="1"/>
        </tpls>
      </n>
      <n v="-31725.904658799998" in="0">
        <tpls c="6">
          <tpl hier="15" item="0"/>
          <tpl fld="2" item="4"/>
          <tpl hier="45" item="2"/>
          <tpl fld="4" item="2"/>
          <tpl fld="1" item="1"/>
          <tpl hier="68" item="1"/>
        </tpls>
      </n>
      <n v="-2136.7401359999999" in="0">
        <tpls c="7">
          <tpl fld="3" item="18"/>
          <tpl hier="15" item="0"/>
          <tpl fld="2" item="0"/>
          <tpl hier="45" item="2"/>
          <tpl fld="4" item="1"/>
          <tpl fld="1" item="0"/>
          <tpl hier="68" item="1"/>
        </tpls>
      </n>
      <m in="0">
        <tpls c="7">
          <tpl fld="3" item="18"/>
          <tpl hier="15" item="0"/>
          <tpl fld="2" item="0"/>
          <tpl hier="45" item="2"/>
          <tpl fld="4" item="4"/>
          <tpl fld="1" item="0"/>
          <tpl hier="68" item="1"/>
        </tpls>
      </m>
      <n v="-70.776837012420017" in="0">
        <tpls c="7">
          <tpl fld="3" item="18"/>
          <tpl hier="15" item="0"/>
          <tpl fld="2" item="0"/>
          <tpl hier="45" item="2"/>
          <tpl fld="4" item="3"/>
          <tpl fld="1" item="1"/>
          <tpl hier="68" item="1"/>
        </tpls>
      </n>
      <m in="0">
        <tpls c="7">
          <tpl fld="3" item="18"/>
          <tpl hier="15" item="0"/>
          <tpl fld="2" item="0"/>
          <tpl hier="45" item="2"/>
          <tpl fld="4" item="0"/>
          <tpl fld="1" item="0"/>
          <tpl hier="68" item="1"/>
        </tpls>
      </m>
      <m in="0">
        <tpls c="7">
          <tpl fld="3" item="18"/>
          <tpl hier="15" item="0"/>
          <tpl fld="2" item="0"/>
          <tpl hier="45" item="2"/>
          <tpl fld="4" item="2"/>
          <tpl fld="1" item="1"/>
          <tpl hier="68" item="1"/>
        </tpls>
      </m>
      <n v="-41.943190000000001" in="0">
        <tpls c="7">
          <tpl fld="3" item="18"/>
          <tpl hier="15" item="0"/>
          <tpl fld="2" item="0"/>
          <tpl hier="45" item="2"/>
          <tpl fld="4" item="3"/>
          <tpl fld="1" item="0"/>
          <tpl hier="68" item="1"/>
        </tpls>
      </n>
      <m in="0">
        <tpls c="6">
          <tpl hier="15" item="0"/>
          <tpl fld="2" item="3"/>
          <tpl hier="45" item="2"/>
          <tpl fld="4" item="1"/>
          <tpl fld="1" item="0"/>
          <tpl hier="68" item="1"/>
        </tpls>
      </m>
      <n v="-1527.2310751500004" in="0">
        <tpls c="6">
          <tpl hier="15" item="0"/>
          <tpl fld="2" item="3"/>
          <tpl hier="45" item="2"/>
          <tpl fld="4" item="3"/>
          <tpl fld="1" item="1"/>
          <tpl hier="68" item="1"/>
        </tpls>
      </n>
      <m in="0">
        <tpls c="6">
          <tpl hier="15" item="0"/>
          <tpl fld="2" item="3"/>
          <tpl hier="45" item="2"/>
          <tpl fld="4" item="3"/>
          <tpl fld="1" item="0"/>
          <tpl hier="68" item="1"/>
        </tpls>
      </m>
      <m in="0">
        <tpls c="6">
          <tpl hier="15" item="0"/>
          <tpl fld="2" item="3"/>
          <tpl hier="45" item="2"/>
          <tpl fld="4" item="0"/>
          <tpl fld="1" item="0"/>
          <tpl hier="68" item="1"/>
        </tpls>
      </m>
      <n v="-3734.1426111000001" in="0">
        <tpls c="6">
          <tpl hier="15" item="0"/>
          <tpl fld="2" item="3"/>
          <tpl hier="45" item="2"/>
          <tpl fld="4" item="2"/>
          <tpl fld="1" item="1"/>
          <tpl hier="68" item="1"/>
        </tpls>
      </n>
      <n v="-3394.6751009999998" in="0">
        <tpls c="6">
          <tpl hier="15" item="0"/>
          <tpl fld="2" item="3"/>
          <tpl hier="45" item="2"/>
          <tpl fld="4" item="2"/>
          <tpl fld="1" item="0"/>
          <tpl hier="68" item="1"/>
        </tpls>
      </n>
      <m in="0">
        <tpls c="6">
          <tpl hier="15" item="0"/>
          <tpl fld="2" item="3"/>
          <tpl hier="45" item="2"/>
          <tpl fld="4" item="4"/>
          <tpl fld="1" item="0"/>
          <tpl hier="68" item="1"/>
        </tpls>
      </m>
      <n v="-27870.194278199997" in="0">
        <tpls c="6">
          <tpl hier="15" item="0"/>
          <tpl fld="2" item="4"/>
          <tpl hier="45" item="2"/>
          <tpl fld="4" item="3"/>
          <tpl fld="1" item="1"/>
          <tpl hier="68" item="1"/>
        </tpls>
      </n>
      <n v="-67.439606300000008" in="0">
        <tpls c="7">
          <tpl fld="3" item="13"/>
          <tpl hier="15" item="0"/>
          <tpl fld="2" item="0"/>
          <tpl hier="45" item="2"/>
          <tpl fld="4" item="3"/>
          <tpl fld="1" item="1"/>
          <tpl hier="68" item="1"/>
        </tpls>
      </n>
      <n v="-916.33864509000011" in="0">
        <tpls c="7">
          <tpl fld="3" item="9"/>
          <tpl hier="15" item="0"/>
          <tpl fld="2" item="0"/>
          <tpl hier="45" item="2"/>
          <tpl fld="4" item="3"/>
          <tpl fld="1" item="1"/>
          <tpl hier="68" item="1"/>
        </tpls>
      </n>
      <m in="0">
        <tpls c="7">
          <tpl fld="3" item="7"/>
          <tpl hier="15" item="0"/>
          <tpl fld="2" item="0"/>
          <tpl hier="45" item="2"/>
          <tpl fld="4" item="3"/>
          <tpl fld="1" item="1"/>
          <tpl hier="68" item="1"/>
        </tpls>
      </m>
      <n v="-11725.86642042024" in="0">
        <tpls c="6">
          <tpl hier="15" item="0"/>
          <tpl fld="2" item="0"/>
          <tpl hier="45" item="2"/>
          <tpl fld="4" item="3"/>
          <tpl fld="1" item="1"/>
          <tpl hier="68" item="1"/>
        </tpls>
      </n>
      <n v="-81.79081556492001" in="0">
        <tpls c="7">
          <tpl fld="3" item="6"/>
          <tpl hier="15" item="0"/>
          <tpl fld="2" item="0"/>
          <tpl hier="45" item="2"/>
          <tpl fld="4" item="3"/>
          <tpl fld="1" item="1"/>
          <tpl hier="68" item="1"/>
        </tpls>
      </n>
      <n v="-16478.633573770239" in="0">
        <tpls c="6">
          <tpl hier="15" item="0"/>
          <tpl hier="17" item="4294967295"/>
          <tpl hier="45" item="2"/>
          <tpl fld="4" item="3"/>
          <tpl fld="1" item="1"/>
          <tpl hier="68" item="1"/>
        </tpls>
      </n>
      <m in="0">
        <tpls c="7">
          <tpl fld="3" item="13"/>
          <tpl hier="15" item="0"/>
          <tpl fld="2" item="0"/>
          <tpl hier="45" item="2"/>
          <tpl fld="4" item="0"/>
          <tpl fld="1" item="0"/>
          <tpl hier="68" item="1"/>
        </tpls>
      </m>
      <m in="0">
        <tpls c="7">
          <tpl fld="3" item="6"/>
          <tpl hier="15" item="0"/>
          <tpl fld="2" item="0"/>
          <tpl hier="45" item="2"/>
          <tpl fld="4" item="0"/>
          <tpl fld="1" item="1"/>
          <tpl hier="68" item="1"/>
        </tpls>
      </m>
      <n v="-117.29134657152001" in="0">
        <tpls c="7">
          <tpl fld="3" item="13"/>
          <tpl hier="15" item="0"/>
          <tpl fld="2" item="0"/>
          <tpl hier="45" item="2"/>
          <tpl fld="4" item="0"/>
          <tpl fld="1" item="1"/>
          <tpl hier="68" item="1"/>
        </tpls>
      </n>
      <n v="-12036.3081002" in="0">
        <tpls c="7">
          <tpl fld="3" item="20"/>
          <tpl hier="15" item="0"/>
          <tpl fld="2" item="0"/>
          <tpl hier="45" item="2"/>
          <tpl fld="4" item="0"/>
          <tpl fld="1" item="1"/>
          <tpl hier="68" item="1"/>
        </tpls>
      </n>
      <n v="1870.207592" in="0">
        <tpls c="6">
          <tpl hier="15" item="0"/>
          <tpl fld="2" item="2"/>
          <tpl hier="45" item="2"/>
          <tpl fld="4" item="0"/>
          <tpl fld="1" item="1"/>
          <tpl hier="68" item="1"/>
        </tpls>
      </n>
      <m in="0">
        <tpls c="7">
          <tpl fld="3" item="14"/>
          <tpl hier="15" item="0"/>
          <tpl fld="2" item="2"/>
          <tpl hier="45" item="2"/>
          <tpl fld="4" item="0"/>
          <tpl fld="1" item="1"/>
          <tpl hier="68" item="1"/>
        </tpls>
      </m>
      <m in="0">
        <tpls c="6">
          <tpl hier="15" item="0"/>
          <tpl fld="2" item="3"/>
          <tpl hier="45" item="2"/>
          <tpl fld="4" item="0"/>
          <tpl fld="1" item="1"/>
          <tpl hier="68" item="1"/>
        </tpls>
      </m>
      <m in="0">
        <tpls c="7">
          <tpl fld="3" item="8"/>
          <tpl hier="15" item="0"/>
          <tpl fld="2" item="3"/>
          <tpl hier="45" item="2"/>
          <tpl fld="4" item="0"/>
          <tpl fld="1" item="1"/>
          <tpl hier="68" item="1"/>
        </tpls>
      </m>
      <n v="-12238.28008260758" in="0">
        <tpls c="6">
          <tpl hier="15" item="0"/>
          <tpl fld="2" item="0"/>
          <tpl hier="45" item="2"/>
          <tpl fld="4" item="0"/>
          <tpl fld="1" item="1"/>
          <tpl hier="68" item="1"/>
        </tpls>
      </n>
      <m in="0">
        <tpls c="7">
          <tpl fld="3" item="7"/>
          <tpl hier="15" item="0"/>
          <tpl fld="2" item="0"/>
          <tpl hier="45" item="2"/>
          <tpl fld="4" item="0"/>
          <tpl fld="1" item="1"/>
          <tpl hier="68" item="1"/>
        </tpls>
      </m>
      <n v="-10576.737162207581" in="0">
        <tpls c="6">
          <tpl hier="15" item="0"/>
          <tpl hier="17" item="4294967295"/>
          <tpl hier="45" item="2"/>
          <tpl fld="4" item="0"/>
          <tpl fld="1" item="1"/>
          <tpl hier="68" item="1"/>
        </tpls>
      </n>
      <n v="-32.173667983160009" in="0">
        <tpls c="7">
          <tpl fld="3" item="18"/>
          <tpl hier="15" item="0"/>
          <tpl fld="2" item="0"/>
          <tpl hier="45" item="2"/>
          <tpl fld="4" item="0"/>
          <tpl fld="1" item="1"/>
          <tpl hier="68" item="1"/>
        </tpls>
      </n>
      <n v="-29.526467452900004" in="0">
        <tpls c="7">
          <tpl fld="3" item="4"/>
          <tpl hier="15" item="0"/>
          <tpl fld="2" item="0"/>
          <tpl hier="45" item="2"/>
          <tpl fld="4" item="0"/>
          <tpl fld="1" item="1"/>
          <tpl hier="68" item="1"/>
        </tpls>
      </n>
      <m in="0">
        <tpls c="7">
          <tpl fld="3" item="9"/>
          <tpl hier="15" item="0"/>
          <tpl fld="2" item="0"/>
          <tpl hier="45" item="2"/>
          <tpl fld="4" item="0"/>
          <tpl fld="1" item="1"/>
          <tpl hier="68" item="1"/>
        </tpls>
      </m>
      <n v="-208.66467160000002" in="0">
        <tpls c="6">
          <tpl hier="15" item="0"/>
          <tpl fld="2" item="4"/>
          <tpl hier="45" item="2"/>
          <tpl fld="4" item="0"/>
          <tpl fld="1" item="1"/>
          <tpl hier="68" item="1"/>
        </tpls>
      </n>
      <n v="-1018.1540501000002" in="0">
        <tpls c="7">
          <tpl fld="3" item="9"/>
          <tpl hier="15" item="0"/>
          <tpl fld="2" item="0"/>
          <tpl hier="45" item="2"/>
          <tpl fld="4" item="1"/>
          <tpl fld="1" item="1"/>
          <tpl hier="68" item="1"/>
        </tpls>
      </n>
      <n v="-145.30920852574502" in="0">
        <tpls c="7">
          <tpl fld="3" item="6"/>
          <tpl hier="15" item="0"/>
          <tpl fld="2" item="0"/>
          <tpl hier="45" item="2"/>
          <tpl fld="4" item="1"/>
          <tpl fld="1" item="1"/>
          <tpl hier="68" item="1"/>
        </tpls>
      </n>
      <n v="-20901.018897135138" in="0">
        <tpls c="6">
          <tpl hier="15" item="0"/>
          <tpl fld="2" item="0"/>
          <tpl hier="45" item="2"/>
          <tpl fld="4" item="1"/>
          <tpl fld="1" item="1"/>
          <tpl hier="68" item="1"/>
        </tpls>
      </n>
      <n v="-2350.4141496000002" in="0">
        <tpls c="7">
          <tpl fld="3" item="18"/>
          <tpl hier="15" item="0"/>
          <tpl fld="2" item="0"/>
          <tpl hier="45" item="2"/>
          <tpl fld="4" item="1"/>
          <tpl fld="1" item="1"/>
          <tpl hier="68" item="1"/>
        </tpls>
      </n>
      <n v="-6038.0443416191292" in="0">
        <tpls c="6">
          <tpl hier="15" item="0"/>
          <tpl hier="17" item="4294967295"/>
          <tpl hier="45" item="2"/>
          <tpl fld="4" item="1"/>
          <tpl fld="1" item="1"/>
          <tpl hier="68" item="1"/>
        </tpls>
      </n>
      <n v="-74.310967652900018" in="0">
        <tpls c="7">
          <tpl fld="3" item="4"/>
          <tpl hier="15" item="0"/>
          <tpl fld="2" item="0"/>
          <tpl hier="45" item="2"/>
          <tpl fld="4" item="1"/>
          <tpl fld="1" item="1"/>
          <tpl hier="68" item="1"/>
        </tpls>
      </n>
      <n v="-855.24940208400017" in="0">
        <tpls c="6">
          <tpl hier="15" item="0"/>
          <tpl fld="2" item="3"/>
          <tpl hier="45" item="2"/>
          <tpl fld="4" item="1"/>
          <tpl fld="1" item="1"/>
          <tpl hier="68" item="1"/>
        </tpls>
      </n>
      <n v="23511.865079900002" in="0">
        <tpls c="6">
          <tpl hier="15" item="0"/>
          <tpl fld="2" item="2"/>
          <tpl hier="45" item="2"/>
          <tpl fld="4" item="1"/>
          <tpl fld="1" item="1"/>
          <tpl hier="68" item="1"/>
        </tpls>
      </n>
      <n v="-15.170495346490002" in="0">
        <tpls c="7">
          <tpl fld="3" item="7"/>
          <tpl hier="15" item="0"/>
          <tpl fld="2" item="0"/>
          <tpl hier="45" item="2"/>
          <tpl fld="4" item="1"/>
          <tpl fld="1" item="1"/>
          <tpl hier="68" item="1"/>
        </tpls>
      </n>
      <n v="-203.63081002000004" in="0">
        <tpls c="7">
          <tpl fld="3" item="13"/>
          <tpl hier="15" item="0"/>
          <tpl fld="2" item="0"/>
          <tpl hier="45" item="2"/>
          <tpl fld="4" item="1"/>
          <tpl fld="1" item="1"/>
          <tpl hier="68" item="1"/>
        </tpls>
      </n>
      <m in="0">
        <tpls c="7">
          <tpl fld="3" item="14"/>
          <tpl hier="15" item="0"/>
          <tpl fld="2" item="2"/>
          <tpl hier="45" item="2"/>
          <tpl fld="4" item="1"/>
          <tpl fld="1" item="1"/>
          <tpl hier="68" item="1"/>
        </tpls>
      </m>
      <n v="-7793.6411223000005" in="0">
        <tpls c="6">
          <tpl hier="15" item="0"/>
          <tpl fld="2" item="4"/>
          <tpl hier="45" item="2"/>
          <tpl fld="4" item="1"/>
          <tpl fld="1" item="1"/>
          <tpl hier="68" item="1"/>
        </tpls>
      </n>
      <n v="-855.24940208400017" in="0">
        <tpls c="7">
          <tpl fld="3" item="8"/>
          <tpl hier="15" item="0"/>
          <tpl fld="2" item="3"/>
          <tpl hier="45" item="2"/>
          <tpl fld="4" item="1"/>
          <tpl fld="1" item="1"/>
          <tpl hier="68" item="1"/>
        </tpls>
      </n>
      <n v="-4286.6657524900002" in="0">
        <tpls c="7">
          <tpl fld="3" item="20"/>
          <tpl hier="15" item="0"/>
          <tpl fld="2" item="0"/>
          <tpl hier="45" item="2"/>
          <tpl fld="4" item="1"/>
          <tpl fld="1" item="1"/>
          <tpl hier="68" item="1"/>
        </tpls>
      </n>
      <n v="700" in="0">
        <tpls c="6">
          <tpl hier="15" item="0"/>
          <tpl fld="2" item="2"/>
          <tpl hier="45" item="2"/>
          <tpl fld="4" item="4"/>
          <tpl fld="1" item="1"/>
          <tpl hier="68" item="1"/>
        </tpls>
      </n>
      <n v="-200" in="0">
        <tpls c="6">
          <tpl hier="15" item="0"/>
          <tpl fld="2" item="4"/>
          <tpl hier="45" item="2"/>
          <tpl fld="4" item="4"/>
          <tpl fld="1" item="1"/>
          <tpl hier="68" item="1"/>
        </tpls>
      </n>
      <m in="0">
        <tpls c="7">
          <tpl fld="3" item="13"/>
          <tpl hier="15" item="0"/>
          <tpl fld="2" item="0"/>
          <tpl hier="45" item="2"/>
          <tpl fld="4" item="4"/>
          <tpl fld="1" item="1"/>
          <tpl hier="68" item="1"/>
        </tpls>
      </m>
      <m in="0">
        <tpls c="7">
          <tpl fld="3" item="14"/>
          <tpl hier="15" item="0"/>
          <tpl fld="2" item="2"/>
          <tpl hier="45" item="2"/>
          <tpl fld="4" item="4"/>
          <tpl fld="1" item="1"/>
          <tpl hier="68" item="1"/>
        </tpls>
      </m>
      <m in="0">
        <tpls c="7">
          <tpl fld="3" item="20"/>
          <tpl hier="15" item="0"/>
          <tpl fld="2" item="0"/>
          <tpl hier="45" item="2"/>
          <tpl fld="4" item="4"/>
          <tpl fld="1" item="1"/>
          <tpl hier="68" item="1"/>
        </tpls>
      </m>
      <n v="-2000" in="0">
        <tpls c="7">
          <tpl fld="3" item="7"/>
          <tpl hier="15" item="0"/>
          <tpl fld="2" item="0"/>
          <tpl hier="45" item="2"/>
          <tpl fld="4" item="4"/>
          <tpl fld="1" item="1"/>
          <tpl hier="68" item="1"/>
        </tpls>
      </n>
      <m in="0">
        <tpls c="7">
          <tpl fld="3" item="9"/>
          <tpl hier="15" item="0"/>
          <tpl fld="2" item="0"/>
          <tpl hier="45" item="2"/>
          <tpl fld="4" item="4"/>
          <tpl fld="1" item="1"/>
          <tpl hier="68" item="1"/>
        </tpls>
      </m>
      <m in="0">
        <tpls c="7">
          <tpl fld="3" item="4"/>
          <tpl hier="15" item="0"/>
          <tpl fld="2" item="0"/>
          <tpl hier="45" item="2"/>
          <tpl fld="4" item="4"/>
          <tpl fld="1" item="1"/>
          <tpl hier="68" item="1"/>
        </tpls>
      </m>
      <n v="-2020" in="0">
        <tpls c="6">
          <tpl hier="15" item="0"/>
          <tpl fld="2" item="0"/>
          <tpl hier="45" item="2"/>
          <tpl fld="4" item="4"/>
          <tpl fld="1" item="1"/>
          <tpl hier="68" item="1"/>
        </tpls>
      </n>
      <m in="0">
        <tpls c="7">
          <tpl fld="3" item="8"/>
          <tpl hier="15" item="0"/>
          <tpl fld="2" item="3"/>
          <tpl hier="45" item="2"/>
          <tpl fld="4" item="4"/>
          <tpl fld="1" item="1"/>
          <tpl hier="68" item="1"/>
        </tpls>
      </m>
      <m in="0">
        <tpls c="7">
          <tpl fld="3" item="18"/>
          <tpl hier="15" item="0"/>
          <tpl fld="2" item="0"/>
          <tpl hier="45" item="2"/>
          <tpl fld="4" item="4"/>
          <tpl fld="1" item="1"/>
          <tpl hier="68" item="1"/>
        </tpls>
      </m>
      <m in="0">
        <tpls c="6">
          <tpl hier="15" item="0"/>
          <tpl fld="2" item="3"/>
          <tpl hier="45" item="2"/>
          <tpl fld="4" item="4"/>
          <tpl fld="1" item="1"/>
          <tpl hier="68" item="1"/>
        </tpls>
      </m>
      <n v="-20" in="0">
        <tpls c="7">
          <tpl fld="3" item="6"/>
          <tpl hier="15" item="0"/>
          <tpl fld="2" item="0"/>
          <tpl hier="45" item="2"/>
          <tpl fld="4" item="4"/>
          <tpl fld="1" item="1"/>
          <tpl hier="68" item="1"/>
        </tpls>
      </n>
      <n v="-1520" in="0">
        <tpls c="6">
          <tpl hier="15" item="0"/>
          <tpl hier="17" item="4294967295"/>
          <tpl hier="45" item="2"/>
          <tpl fld="4" item="4"/>
          <tpl fld="1" item="1"/>
          <tpl hier="68" item="1"/>
        </tpls>
      </n>
      <n v="75595.03036199999" in="0">
        <tpls c="5">
          <tpl hier="15" item="0"/>
          <tpl fld="2" item="2"/>
          <tpl hier="45" item="2"/>
          <tpl fld="1" item="0"/>
          <tpl hier="68" item="1"/>
        </tpls>
      </n>
      <n v="85385.363928864841" in="0">
        <tpls c="5">
          <tpl hier="15" item="0"/>
          <tpl fld="2" item="2"/>
          <tpl hier="45" item="2"/>
          <tpl fld="1" item="1"/>
          <tpl hier="68" item="1"/>
        </tpls>
      </n>
      <n v="786.318173" in="0">
        <tpls c="7">
          <tpl fld="3" item="5"/>
          <tpl hier="15" item="0"/>
          <tpl fld="2" item="2"/>
          <tpl hier="45" item="2"/>
          <tpl fld="4" item="4"/>
          <tpl fld="1" item="0"/>
          <tpl hier="68" item="1"/>
        </tpls>
      </n>
      <n v="700" in="0">
        <tpls c="7">
          <tpl fld="3" item="5"/>
          <tpl hier="15" item="0"/>
          <tpl fld="2" item="2"/>
          <tpl hier="45" item="2"/>
          <tpl fld="4" item="4"/>
          <tpl fld="1" item="1"/>
          <tpl hier="68" item="1"/>
        </tpls>
      </n>
      <n v="1870.207592" in="0">
        <tpls c="7">
          <tpl fld="3" item="5"/>
          <tpl hier="15" item="0"/>
          <tpl fld="2" item="2"/>
          <tpl hier="45" item="2"/>
          <tpl fld="4" item="0"/>
          <tpl fld="1" item="0"/>
          <tpl hier="68" item="1"/>
        </tpls>
      </n>
      <n v="1870.207592" in="0">
        <tpls c="7">
          <tpl fld="3" item="5"/>
          <tpl hier="15" item="0"/>
          <tpl fld="2" item="2"/>
          <tpl hier="45" item="2"/>
          <tpl fld="4" item="0"/>
          <tpl fld="1" item="1"/>
          <tpl hier="68" item="1"/>
        </tpls>
      </n>
      <n v="24644.658199999998" in="0">
        <tpls c="7">
          <tpl fld="3" item="5"/>
          <tpl hier="15" item="0"/>
          <tpl fld="2" item="2"/>
          <tpl hier="45" item="2"/>
          <tpl fld="4" item="3"/>
          <tpl fld="1" item="0"/>
          <tpl hier="68" item="1"/>
        </tpls>
      </n>
      <n v="24644.658200000002" in="0">
        <tpls c="7">
          <tpl fld="3" item="5"/>
          <tpl hier="15" item="0"/>
          <tpl fld="2" item="2"/>
          <tpl hier="45" item="2"/>
          <tpl fld="4" item="3"/>
          <tpl fld="1" item="1"/>
          <tpl hier="68" item="1"/>
        </tpls>
      </n>
      <n v="16576.177817000003" in="0">
        <tpls c="7">
          <tpl fld="3" item="5"/>
          <tpl hier="15" item="0"/>
          <tpl fld="2" item="2"/>
          <tpl hier="45" item="2"/>
          <tpl fld="4" item="1"/>
          <tpl fld="1" item="0"/>
          <tpl hier="68" item="1"/>
        </tpls>
      </n>
      <n v="16576.177817" in="0">
        <tpls c="7">
          <tpl fld="3" item="5"/>
          <tpl hier="15" item="0"/>
          <tpl fld="2" item="2"/>
          <tpl hier="45" item="2"/>
          <tpl fld="4" item="1"/>
          <tpl fld="1" item="1"/>
          <tpl hier="68" item="1"/>
        </tpls>
      </n>
      <n v="24069.565666999999" in="0">
        <tpls c="7">
          <tpl fld="3" item="5"/>
          <tpl hier="15" item="0"/>
          <tpl fld="2" item="2"/>
          <tpl hier="45" item="2"/>
          <tpl fld="4" item="2"/>
          <tpl fld="1" item="0"/>
          <tpl hier="68" item="1"/>
        </tpls>
      </n>
      <n v="26476.522233700001" in="0">
        <tpls c="7">
          <tpl fld="3" item="5"/>
          <tpl hier="15" item="0"/>
          <tpl fld="2" item="2"/>
          <tpl hier="45" item="2"/>
          <tpl fld="4" item="2"/>
          <tpl fld="1" item="1"/>
          <tpl hier="68" item="1"/>
        </tpls>
      </n>
      <n v="75595.03036199999" in="0">
        <tpls c="6">
          <tpl fld="3" item="5"/>
          <tpl hier="15" item="0"/>
          <tpl fld="2" item="2"/>
          <tpl hier="45" item="2"/>
          <tpl fld="1" item="0"/>
          <tpl hier="68" item="1"/>
        </tpls>
      </n>
      <n v="78449.676665964842" in="0">
        <tpls c="6">
          <tpl fld="3" item="5"/>
          <tpl hier="15" item="0"/>
          <tpl fld="2" item="2"/>
          <tpl hier="45" item="2"/>
          <tpl fld="1" item="1"/>
          <tpl hier="68" item="1"/>
        </tpls>
      </n>
      <n v="-3394.6751009999998" in="0">
        <tpls c="5">
          <tpl hier="15" item="0"/>
          <tpl fld="2" item="3"/>
          <tpl hier="45" item="2"/>
          <tpl fld="1" item="0"/>
          <tpl hier="68" item="1"/>
        </tpls>
      </n>
      <n v="-6116.6230883340013" in="0">
        <tpls c="5">
          <tpl hier="15" item="0"/>
          <tpl fld="2" item="3"/>
          <tpl hier="45" item="2"/>
          <tpl fld="1" item="1"/>
          <tpl hier="68" item="1"/>
        </tpls>
      </n>
      <m in="0">
        <tpls c="6">
          <tpl fld="3" item="8"/>
          <tpl hier="15" item="0"/>
          <tpl fld="2" item="3"/>
          <tpl hier="45" item="2"/>
          <tpl fld="1" item="0"/>
          <tpl hier="68" item="1"/>
        </tpls>
      </m>
      <n v="-2382.4804772340003" in="0">
        <tpls c="6">
          <tpl fld="3" item="8"/>
          <tpl hier="15" item="0"/>
          <tpl fld="2" item="3"/>
          <tpl hier="45" item="2"/>
          <tpl fld="1" item="1"/>
          <tpl hier="68" item="1"/>
        </tpls>
      </n>
      <m in="0">
        <tpls c="7">
          <tpl fld="3" item="25"/>
          <tpl hier="15" item="0"/>
          <tpl fld="2" item="3"/>
          <tpl hier="45" item="2"/>
          <tpl fld="4" item="4"/>
          <tpl fld="1" item="0"/>
          <tpl hier="68" item="1"/>
        </tpls>
      </m>
      <m in="0">
        <tpls c="7">
          <tpl fld="3" item="25"/>
          <tpl hier="15" item="0"/>
          <tpl fld="2" item="3"/>
          <tpl hier="45" item="2"/>
          <tpl fld="4" item="4"/>
          <tpl fld="1" item="1"/>
          <tpl hier="68" item="1"/>
        </tpls>
      </m>
      <m in="0">
        <tpls c="7">
          <tpl fld="3" item="25"/>
          <tpl hier="15" item="0"/>
          <tpl fld="2" item="3"/>
          <tpl hier="45" item="2"/>
          <tpl fld="4" item="0"/>
          <tpl fld="1" item="0"/>
          <tpl hier="68" item="1"/>
        </tpls>
      </m>
      <m in="0">
        <tpls c="7">
          <tpl fld="3" item="25"/>
          <tpl hier="15" item="0"/>
          <tpl fld="2" item="3"/>
          <tpl hier="45" item="2"/>
          <tpl fld="4" item="0"/>
          <tpl fld="1" item="1"/>
          <tpl hier="68" item="1"/>
        </tpls>
      </m>
      <m in="0">
        <tpls c="7">
          <tpl fld="3" item="25"/>
          <tpl hier="15" item="0"/>
          <tpl fld="2" item="3"/>
          <tpl hier="45" item="2"/>
          <tpl fld="4" item="3"/>
          <tpl fld="1" item="0"/>
          <tpl hier="68" item="1"/>
        </tpls>
      </m>
      <m in="0">
        <tpls c="7">
          <tpl fld="3" item="25"/>
          <tpl hier="15" item="0"/>
          <tpl fld="2" item="3"/>
          <tpl hier="45" item="2"/>
          <tpl fld="4" item="3"/>
          <tpl fld="1" item="1"/>
          <tpl hier="68" item="1"/>
        </tpls>
      </m>
      <m in="0">
        <tpls c="7">
          <tpl fld="3" item="25"/>
          <tpl hier="15" item="0"/>
          <tpl fld="2" item="3"/>
          <tpl hier="45" item="2"/>
          <tpl fld="4" item="1"/>
          <tpl fld="1" item="0"/>
          <tpl hier="68" item="1"/>
        </tpls>
      </m>
      <m in="0">
        <tpls c="7">
          <tpl fld="3" item="25"/>
          <tpl hier="15" item="0"/>
          <tpl fld="2" item="3"/>
          <tpl hier="45" item="2"/>
          <tpl fld="4" item="1"/>
          <tpl fld="1" item="1"/>
          <tpl hier="68" item="1"/>
        </tpls>
      </m>
      <n v="-3394.6751009999998" in="0">
        <tpls c="7">
          <tpl fld="3" item="25"/>
          <tpl hier="15" item="0"/>
          <tpl fld="2" item="3"/>
          <tpl hier="45" item="2"/>
          <tpl fld="4" item="2"/>
          <tpl fld="1" item="0"/>
          <tpl hier="68" item="1"/>
        </tpls>
      </n>
      <n v="-3734.1426111000001" in="0">
        <tpls c="7">
          <tpl fld="3" item="25"/>
          <tpl hier="15" item="0"/>
          <tpl fld="2" item="3"/>
          <tpl hier="45" item="2"/>
          <tpl fld="4" item="2"/>
          <tpl fld="1" item="1"/>
          <tpl hier="68" item="1"/>
        </tpls>
      </n>
      <n v="-3394.6751009999998" in="0">
        <tpls c="6">
          <tpl fld="3" item="25"/>
          <tpl hier="15" item="0"/>
          <tpl fld="2" item="3"/>
          <tpl hier="45" item="2"/>
          <tpl fld="1" item="0"/>
          <tpl hier="68" item="1"/>
        </tpls>
      </n>
      <n v="-3734.1426111000001" in="0">
        <tpls c="6">
          <tpl fld="3" item="25"/>
          <tpl hier="15" item="0"/>
          <tpl fld="2" item="3"/>
          <tpl hier="45" item="2"/>
          <tpl fld="1" item="1"/>
          <tpl hier="68" item="1"/>
        </tpls>
      </n>
      <n v="-26354.783163999997" in="0">
        <tpls c="5">
          <tpl hier="15" item="0"/>
          <tpl fld="2" item="0"/>
          <tpl hier="45" item="2"/>
          <tpl fld="1" item="0"/>
          <tpl hier="68" item="1"/>
        </tpls>
      </n>
      <n v="-48498.326349562965" in="0">
        <tpls c="5">
          <tpl hier="15" item="0"/>
          <tpl fld="2" item="0"/>
          <tpl hier="45" item="2"/>
          <tpl fld="1" item="1"/>
          <tpl hier="68" item="1"/>
        </tpls>
      </n>
      <m in="0">
        <tpls c="7">
          <tpl fld="3" item="0"/>
          <tpl hier="15" item="0"/>
          <tpl fld="2" item="0"/>
          <tpl hier="45" item="2"/>
          <tpl fld="4" item="4"/>
          <tpl fld="1" item="0"/>
          <tpl hier="68" item="1"/>
        </tpls>
      </m>
      <m in="0">
        <tpls c="7">
          <tpl fld="3" item="0"/>
          <tpl hier="15" item="0"/>
          <tpl fld="2" item="0"/>
          <tpl hier="45" item="2"/>
          <tpl fld="4" item="4"/>
          <tpl fld="1" item="1"/>
          <tpl hier="68" item="1"/>
        </tpls>
      </m>
      <m in="0">
        <tpls c="7">
          <tpl fld="3" item="0"/>
          <tpl hier="15" item="0"/>
          <tpl fld="2" item="0"/>
          <tpl hier="45" item="2"/>
          <tpl fld="4" item="0"/>
          <tpl fld="1" item="0"/>
          <tpl hier="68" item="1"/>
        </tpls>
      </m>
      <m in="0">
        <tpls c="7">
          <tpl fld="3" item="0"/>
          <tpl hier="15" item="0"/>
          <tpl fld="2" item="0"/>
          <tpl hier="45" item="2"/>
          <tpl fld="4" item="0"/>
          <tpl fld="1" item="1"/>
          <tpl hier="68" item="1"/>
        </tpls>
      </m>
      <n v="-2452.322803" in="0">
        <tpls c="7">
          <tpl fld="3" item="0"/>
          <tpl hier="15" item="0"/>
          <tpl fld="2" item="0"/>
          <tpl hier="45" item="2"/>
          <tpl fld="4" item="3"/>
          <tpl fld="1" item="0"/>
          <tpl hier="68" item="1"/>
        </tpls>
      </n>
      <n v="-2697.5550833000002" in="0">
        <tpls c="7">
          <tpl fld="3" item="0"/>
          <tpl hier="15" item="0"/>
          <tpl fld="2" item="0"/>
          <tpl hier="45" item="2"/>
          <tpl fld="4" item="3"/>
          <tpl fld="1" item="1"/>
          <tpl hier="68" item="1"/>
        </tpls>
      </n>
      <n v="-10963.737188000001" in="0">
        <tpls c="7">
          <tpl fld="3" item="0"/>
          <tpl hier="15" item="0"/>
          <tpl fld="2" item="0"/>
          <tpl hier="45" item="2"/>
          <tpl fld="4" item="1"/>
          <tpl fld="1" item="0"/>
          <tpl hier="68" item="1"/>
        </tpls>
      </n>
      <n v="-12060.110906800002" in="0">
        <tpls c="7">
          <tpl fld="3" item="0"/>
          <tpl hier="15" item="0"/>
          <tpl fld="2" item="0"/>
          <tpl hier="45" item="2"/>
          <tpl fld="4" item="1"/>
          <tpl fld="1" item="1"/>
          <tpl hier="68" item="1"/>
        </tpls>
      </n>
      <m in="0">
        <tpls c="7">
          <tpl fld="3" item="0"/>
          <tpl hier="15" item="0"/>
          <tpl fld="2" item="0"/>
          <tpl hier="45" item="2"/>
          <tpl fld="4" item="2"/>
          <tpl fld="1" item="0"/>
          <tpl hier="68" item="1"/>
        </tpls>
      </m>
      <m in="0">
        <tpls c="7">
          <tpl fld="3" item="0"/>
          <tpl hier="15" item="0"/>
          <tpl fld="2" item="0"/>
          <tpl hier="45" item="2"/>
          <tpl fld="4" item="2"/>
          <tpl fld="1" item="1"/>
          <tpl hier="68" item="1"/>
        </tpls>
      </m>
      <n v="-13416.059991" in="0">
        <tpls c="6">
          <tpl fld="3" item="0"/>
          <tpl hier="15" item="0"/>
          <tpl fld="2" item="0"/>
          <tpl hier="45" item="2"/>
          <tpl fld="1" item="0"/>
          <tpl hier="68" item="1"/>
        </tpls>
      </n>
      <n v="-14757.665990100002" in="0">
        <tpls c="6">
          <tpl fld="3" item="0"/>
          <tpl hier="15" item="0"/>
          <tpl fld="2" item="0"/>
          <tpl hier="45" item="2"/>
          <tpl fld="1" item="1"/>
          <tpl hier="68" item="1"/>
        </tpls>
      </n>
      <m in="0">
        <tpls c="7">
          <tpl fld="3" item="19"/>
          <tpl hier="15" item="0"/>
          <tpl fld="2" item="0"/>
          <tpl hier="45" item="2"/>
          <tpl fld="4" item="4"/>
          <tpl fld="1" item="0"/>
          <tpl hier="68" item="1"/>
        </tpls>
      </m>
      <m in="0">
        <tpls c="7">
          <tpl fld="3" item="19"/>
          <tpl hier="15" item="0"/>
          <tpl fld="2" item="0"/>
          <tpl hier="45" item="2"/>
          <tpl fld="4" item="4"/>
          <tpl fld="1" item="1"/>
          <tpl hier="68" item="1"/>
        </tpls>
      </m>
      <n v="-20.891363999999999" in="0">
        <tpls c="7">
          <tpl fld="3" item="19"/>
          <tpl hier="15" item="0"/>
          <tpl fld="2" item="0"/>
          <tpl hier="45" item="2"/>
          <tpl fld="4" item="0"/>
          <tpl fld="1" item="0"/>
          <tpl hier="68" item="1"/>
        </tpls>
      </n>
      <n v="-22.9805004" in="0">
        <tpls c="7">
          <tpl fld="3" item="19"/>
          <tpl hier="15" item="0"/>
          <tpl fld="2" item="0"/>
          <tpl hier="45" item="2"/>
          <tpl fld="4" item="0"/>
          <tpl fld="1" item="1"/>
          <tpl hier="68" item="1"/>
        </tpls>
      </n>
      <n v="-19.909742000000001" in="0">
        <tpls c="7">
          <tpl fld="3" item="19"/>
          <tpl hier="15" item="0"/>
          <tpl fld="2" item="0"/>
          <tpl hier="45" item="2"/>
          <tpl fld="4" item="3"/>
          <tpl fld="1" item="0"/>
          <tpl hier="68" item="1"/>
        </tpls>
      </n>
      <n v="-21.900716200000002" in="0">
        <tpls c="7">
          <tpl fld="3" item="19"/>
          <tpl hier="15" item="0"/>
          <tpl fld="2" item="0"/>
          <tpl hier="45" item="2"/>
          <tpl fld="4" item="3"/>
          <tpl fld="1" item="1"/>
          <tpl hier="68" item="1"/>
        </tpls>
      </n>
      <m in="0">
        <tpls c="7">
          <tpl fld="3" item="19"/>
          <tpl hier="15" item="0"/>
          <tpl fld="2" item="0"/>
          <tpl hier="45" item="2"/>
          <tpl fld="4" item="1"/>
          <tpl fld="1" item="0"/>
          <tpl hier="68" item="1"/>
        </tpls>
      </m>
      <m in="0">
        <tpls c="7">
          <tpl fld="3" item="19"/>
          <tpl hier="15" item="0"/>
          <tpl fld="2" item="0"/>
          <tpl hier="45" item="2"/>
          <tpl fld="4" item="1"/>
          <tpl fld="1" item="1"/>
          <tpl hier="68" item="1"/>
        </tpls>
      </m>
      <n v="0" in="0">
        <tpls c="7">
          <tpl fld="3" item="19"/>
          <tpl hier="15" item="0"/>
          <tpl fld="2" item="0"/>
          <tpl hier="45" item="2"/>
          <tpl fld="4" item="2"/>
          <tpl fld="1" item="0"/>
          <tpl hier="68" item="1"/>
        </tpls>
      </n>
      <n v="0" in="0">
        <tpls c="7">
          <tpl fld="3" item="19"/>
          <tpl hier="15" item="0"/>
          <tpl fld="2" item="0"/>
          <tpl hier="45" item="2"/>
          <tpl fld="4" item="2"/>
          <tpl fld="1" item="1"/>
          <tpl hier="68" item="1"/>
        </tpls>
      </n>
      <n v="-40.801106000000004" in="0">
        <tpls c="6">
          <tpl fld="3" item="19"/>
          <tpl hier="15" item="0"/>
          <tpl fld="2" item="0"/>
          <tpl hier="45" item="2"/>
          <tpl fld="1" item="0"/>
          <tpl hier="68" item="1"/>
        </tpls>
      </n>
      <n v="-44.881216600000002" in="0">
        <tpls c="6">
          <tpl fld="3" item="19"/>
          <tpl hier="15" item="0"/>
          <tpl fld="2" item="0"/>
          <tpl hier="45" item="2"/>
          <tpl fld="1" item="1"/>
          <tpl hier="68" item="1"/>
        </tpls>
      </n>
      <m in="0">
        <tpls c="7">
          <tpl fld="3" item="21"/>
          <tpl hier="15" item="0"/>
          <tpl fld="2" item="0"/>
          <tpl hier="45" item="2"/>
          <tpl fld="4" item="4"/>
          <tpl fld="1" item="0"/>
          <tpl hier="68" item="1"/>
        </tpls>
      </m>
      <m in="0">
        <tpls c="7">
          <tpl fld="3" item="21"/>
          <tpl hier="15" item="0"/>
          <tpl fld="2" item="0"/>
          <tpl hier="45" item="2"/>
          <tpl fld="4" item="4"/>
          <tpl fld="1" item="1"/>
          <tpl hier="68" item="1"/>
        </tpls>
      </m>
      <m in="0">
        <tpls c="7">
          <tpl fld="3" item="21"/>
          <tpl hier="15" item="0"/>
          <tpl fld="2" item="0"/>
          <tpl hier="45" item="2"/>
          <tpl fld="4" item="0"/>
          <tpl fld="1" item="0"/>
          <tpl hier="68" item="1"/>
        </tpls>
      </m>
      <m in="0">
        <tpls c="7">
          <tpl fld="3" item="21"/>
          <tpl hier="15" item="0"/>
          <tpl fld="2" item="0"/>
          <tpl hier="45" item="2"/>
          <tpl fld="4" item="0"/>
          <tpl fld="1" item="1"/>
          <tpl hier="68" item="1"/>
        </tpls>
      </m>
      <n v="-146.00477799999999" in="0">
        <tpls c="7">
          <tpl fld="3" item="21"/>
          <tpl hier="15" item="0"/>
          <tpl fld="2" item="0"/>
          <tpl hier="45" item="2"/>
          <tpl fld="4" item="3"/>
          <tpl fld="1" item="0"/>
          <tpl hier="68" item="1"/>
        </tpls>
      </n>
      <n v="-160.60525580000001" in="0">
        <tpls c="7">
          <tpl fld="3" item="21"/>
          <tpl hier="15" item="0"/>
          <tpl fld="2" item="0"/>
          <tpl hier="45" item="2"/>
          <tpl fld="4" item="3"/>
          <tpl fld="1" item="1"/>
          <tpl hier="68" item="1"/>
        </tpls>
      </n>
      <m in="0">
        <tpls c="7">
          <tpl fld="3" item="21"/>
          <tpl hier="15" item="0"/>
          <tpl fld="2" item="0"/>
          <tpl hier="45" item="2"/>
          <tpl fld="4" item="1"/>
          <tpl fld="1" item="0"/>
          <tpl hier="68" item="1"/>
        </tpls>
      </m>
      <m in="0">
        <tpls c="7">
          <tpl fld="3" item="21"/>
          <tpl hier="15" item="0"/>
          <tpl fld="2" item="0"/>
          <tpl hier="45" item="2"/>
          <tpl fld="4" item="1"/>
          <tpl fld="1" item="1"/>
          <tpl hier="68" item="1"/>
        </tpls>
      </m>
      <m in="0">
        <tpls c="7">
          <tpl fld="3" item="21"/>
          <tpl hier="15" item="0"/>
          <tpl fld="2" item="0"/>
          <tpl hier="45" item="2"/>
          <tpl fld="4" item="2"/>
          <tpl fld="1" item="0"/>
          <tpl hier="68" item="1"/>
        </tpls>
      </m>
      <m in="0">
        <tpls c="7">
          <tpl fld="3" item="21"/>
          <tpl hier="15" item="0"/>
          <tpl fld="2" item="0"/>
          <tpl hier="45" item="2"/>
          <tpl fld="4" item="2"/>
          <tpl fld="1" item="1"/>
          <tpl hier="68" item="1"/>
        </tpls>
      </m>
      <n v="-146.00477799999999" in="0">
        <tpls c="6">
          <tpl fld="3" item="21"/>
          <tpl hier="15" item="0"/>
          <tpl fld="2" item="0"/>
          <tpl hier="45" item="2"/>
          <tpl fld="1" item="0"/>
          <tpl hier="68" item="1"/>
        </tpls>
      </n>
      <n v="-160.60525580000001" in="0">
        <tpls c="6">
          <tpl fld="3" item="21"/>
          <tpl hier="15" item="0"/>
          <tpl fld="2" item="0"/>
          <tpl hier="45" item="2"/>
          <tpl fld="1" item="1"/>
          <tpl hier="68" item="1"/>
        </tpls>
      </n>
      <n v="-119.30490700000001" in="0">
        <tpls c="6">
          <tpl fld="3" item="4"/>
          <tpl hier="15" item="0"/>
          <tpl fld="2" item="0"/>
          <tpl hier="45" item="2"/>
          <tpl fld="1" item="0"/>
          <tpl hier="68" item="1"/>
        </tpls>
      </n>
      <n v="-219.81480005870006" in="0">
        <tpls c="6">
          <tpl fld="3" item="4"/>
          <tpl hier="15" item="0"/>
          <tpl fld="2" item="0"/>
          <tpl hier="45" item="2"/>
          <tpl fld="1" item="1"/>
          <tpl hier="68" item="1"/>
        </tpls>
      </n>
      <m in="0">
        <tpls c="6">
          <tpl fld="3" item="7"/>
          <tpl hier="15" item="0"/>
          <tpl fld="2" item="0"/>
          <tpl hier="45" item="2"/>
          <tpl fld="1" item="0"/>
          <tpl hier="68" item="1"/>
        </tpls>
      </m>
      <n v="-2015.17049534649" in="0">
        <tpls c="6">
          <tpl fld="3" item="7"/>
          <tpl hier="15" item="0"/>
          <tpl fld="2" item="0"/>
          <tpl hier="45" item="2"/>
          <tpl fld="1" item="1"/>
          <tpl hier="68" item="1"/>
        </tpls>
      </n>
      <n v="-2178.6833259999999" in="0">
        <tpls c="6">
          <tpl fld="3" item="18"/>
          <tpl hier="15" item="0"/>
          <tpl fld="2" item="0"/>
          <tpl hier="45" item="2"/>
          <tpl fld="1" item="0"/>
          <tpl hier="68" item="1"/>
        </tpls>
      </n>
      <n v="-2453.3646545955799" in="0">
        <tpls c="6">
          <tpl fld="3" item="18"/>
          <tpl hier="15" item="0"/>
          <tpl fld="2" item="0"/>
          <tpl hier="45" item="2"/>
          <tpl fld="1" item="1"/>
          <tpl hier="68" item="1"/>
        </tpls>
      </n>
      <m in="0">
        <tpls c="7">
          <tpl fld="3" item="24"/>
          <tpl hier="15" item="0"/>
          <tpl fld="2" item="0"/>
          <tpl hier="45" item="2"/>
          <tpl fld="4" item="4"/>
          <tpl fld="1" item="0"/>
          <tpl hier="68" item="1"/>
        </tpls>
      </m>
      <m in="0">
        <tpls c="7">
          <tpl fld="3" item="24"/>
          <tpl hier="15" item="0"/>
          <tpl fld="2" item="0"/>
          <tpl hier="45" item="2"/>
          <tpl fld="4" item="4"/>
          <tpl fld="1" item="1"/>
          <tpl hier="68" item="1"/>
        </tpls>
      </m>
      <m in="0">
        <tpls c="7">
          <tpl fld="3" item="24"/>
          <tpl hier="15" item="0"/>
          <tpl fld="2" item="0"/>
          <tpl hier="45" item="2"/>
          <tpl fld="4" item="0"/>
          <tpl fld="1" item="0"/>
          <tpl hier="68" item="1"/>
        </tpls>
      </m>
      <m in="0">
        <tpls c="7">
          <tpl fld="3" item="24"/>
          <tpl hier="15" item="0"/>
          <tpl fld="2" item="0"/>
          <tpl hier="45" item="2"/>
          <tpl fld="4" item="0"/>
          <tpl fld="1" item="1"/>
          <tpl hier="68" item="1"/>
        </tpls>
      </m>
      <m in="0">
        <tpls c="7">
          <tpl fld="3" item="24"/>
          <tpl hier="15" item="0"/>
          <tpl fld="2" item="0"/>
          <tpl hier="45" item="2"/>
          <tpl fld="4" item="3"/>
          <tpl fld="1" item="0"/>
          <tpl hier="68" item="1"/>
        </tpls>
      </m>
      <m in="0">
        <tpls c="7">
          <tpl fld="3" item="24"/>
          <tpl hier="15" item="0"/>
          <tpl fld="2" item="0"/>
          <tpl hier="45" item="2"/>
          <tpl fld="4" item="3"/>
          <tpl fld="1" item="1"/>
          <tpl hier="68" item="1"/>
        </tpls>
      </m>
      <m in="0">
        <tpls c="7">
          <tpl fld="3" item="24"/>
          <tpl hier="15" item="0"/>
          <tpl fld="2" item="0"/>
          <tpl hier="45" item="2"/>
          <tpl fld="4" item="1"/>
          <tpl fld="1" item="0"/>
          <tpl hier="68" item="1"/>
        </tpls>
      </m>
      <m in="0">
        <tpls c="7">
          <tpl fld="3" item="24"/>
          <tpl hier="15" item="0"/>
          <tpl fld="2" item="0"/>
          <tpl hier="45" item="2"/>
          <tpl fld="4" item="1"/>
          <tpl fld="1" item="1"/>
          <tpl hier="68" item="1"/>
        </tpls>
      </m>
      <n v="-145.87942500000003" in="0">
        <tpls c="7">
          <tpl fld="3" item="24"/>
          <tpl hier="15" item="0"/>
          <tpl fld="2" item="0"/>
          <tpl hier="45" item="2"/>
          <tpl fld="4" item="2"/>
          <tpl fld="1" item="0"/>
          <tpl hier="68" item="1"/>
        </tpls>
      </n>
      <n v="-160.46736750000005" in="0">
        <tpls c="7">
          <tpl fld="3" item="24"/>
          <tpl hier="15" item="0"/>
          <tpl fld="2" item="0"/>
          <tpl hier="45" item="2"/>
          <tpl fld="4" item="2"/>
          <tpl fld="1" item="1"/>
          <tpl hier="68" item="1"/>
        </tpls>
      </n>
      <n v="-145.87942500000003" in="0">
        <tpls c="6">
          <tpl fld="3" item="24"/>
          <tpl hier="15" item="0"/>
          <tpl fld="2" item="0"/>
          <tpl hier="45" item="2"/>
          <tpl fld="1" item="0"/>
          <tpl hier="68" item="1"/>
        </tpls>
      </n>
      <n v="-160.46736750000005" in="0">
        <tpls c="6">
          <tpl fld="3" item="24"/>
          <tpl hier="15" item="0"/>
          <tpl fld="2" item="0"/>
          <tpl hier="45" item="2"/>
          <tpl fld="1" item="1"/>
          <tpl hier="68" item="1"/>
        </tpls>
      </n>
      <n v="-227.36238299999999" in="0">
        <tpls c="6">
          <tpl fld="3" item="13"/>
          <tpl hier="15" item="0"/>
          <tpl fld="2" item="0"/>
          <tpl hier="45" item="2"/>
          <tpl fld="1" item="0"/>
          <tpl hier="68" item="1"/>
        </tpls>
      </n>
      <n v="-571.02077789152008" in="0">
        <tpls c="6">
          <tpl fld="3" item="13"/>
          <tpl hier="15" item="0"/>
          <tpl fld="2" item="0"/>
          <tpl hier="45" item="2"/>
          <tpl fld="1" item="1"/>
          <tpl hier="68" item="1"/>
        </tpls>
      </n>
      <m in="0">
        <tpls c="7">
          <tpl fld="3" item="3"/>
          <tpl hier="15" item="0"/>
          <tpl fld="2" item="0"/>
          <tpl hier="45" item="2"/>
          <tpl fld="4" item="4"/>
          <tpl fld="1" item="0"/>
          <tpl hier="68" item="1"/>
        </tpls>
      </m>
      <m in="0">
        <tpls c="7">
          <tpl fld="3" item="3"/>
          <tpl hier="15" item="0"/>
          <tpl fld="2" item="0"/>
          <tpl hier="45" item="2"/>
          <tpl fld="4" item="4"/>
          <tpl fld="1" item="1"/>
          <tpl hier="68" item="1"/>
        </tpls>
      </m>
      <m in="0">
        <tpls c="7">
          <tpl fld="3" item="3"/>
          <tpl hier="15" item="0"/>
          <tpl fld="2" item="0"/>
          <tpl hier="45" item="2"/>
          <tpl fld="4" item="0"/>
          <tpl fld="1" item="0"/>
          <tpl hier="68" item="1"/>
        </tpls>
      </m>
      <m in="0">
        <tpls c="7">
          <tpl fld="3" item="3"/>
          <tpl hier="15" item="0"/>
          <tpl fld="2" item="0"/>
          <tpl hier="45" item="2"/>
          <tpl fld="4" item="0"/>
          <tpl fld="1" item="1"/>
          <tpl hier="68" item="1"/>
        </tpls>
      </m>
      <n v="-146.00477799999999" in="0">
        <tpls c="7">
          <tpl fld="3" item="3"/>
          <tpl hier="15" item="0"/>
          <tpl fld="2" item="0"/>
          <tpl hier="45" item="2"/>
          <tpl fld="4" item="3"/>
          <tpl fld="1" item="0"/>
          <tpl hier="68" item="1"/>
        </tpls>
      </n>
      <n v="-160.60525580000001" in="0">
        <tpls c="7">
          <tpl fld="3" item="3"/>
          <tpl hier="15" item="0"/>
          <tpl fld="2" item="0"/>
          <tpl hier="45" item="2"/>
          <tpl fld="4" item="3"/>
          <tpl fld="1" item="1"/>
          <tpl hier="68" item="1"/>
        </tpls>
      </n>
      <n v="-176.189807" in="0">
        <tpls c="7">
          <tpl fld="3" item="3"/>
          <tpl hier="15" item="0"/>
          <tpl fld="2" item="0"/>
          <tpl hier="45" item="2"/>
          <tpl fld="4" item="1"/>
          <tpl fld="1" item="0"/>
          <tpl hier="68" item="1"/>
        </tpls>
      </n>
      <n v="-193.80878770000001" in="0">
        <tpls c="7">
          <tpl fld="3" item="3"/>
          <tpl hier="15" item="0"/>
          <tpl fld="2" item="0"/>
          <tpl hier="45" item="2"/>
          <tpl fld="4" item="1"/>
          <tpl fld="1" item="1"/>
          <tpl hier="68" item="1"/>
        </tpls>
      </n>
      <n v="-138.716814" in="0">
        <tpls c="7">
          <tpl fld="3" item="3"/>
          <tpl hier="15" item="0"/>
          <tpl fld="2" item="0"/>
          <tpl hier="45" item="2"/>
          <tpl fld="4" item="2"/>
          <tpl fld="1" item="0"/>
          <tpl hier="68" item="1"/>
        </tpls>
      </n>
      <n v="-152.5884954" in="0">
        <tpls c="7">
          <tpl fld="3" item="3"/>
          <tpl hier="15" item="0"/>
          <tpl fld="2" item="0"/>
          <tpl hier="45" item="2"/>
          <tpl fld="4" item="2"/>
          <tpl fld="1" item="1"/>
          <tpl hier="68" item="1"/>
        </tpls>
      </n>
      <n v="-460.91139899999996" in="0">
        <tpls c="6">
          <tpl fld="3" item="3"/>
          <tpl hier="15" item="0"/>
          <tpl fld="2" item="0"/>
          <tpl hier="45" item="2"/>
          <tpl fld="1" item="0"/>
          <tpl hier="68" item="1"/>
        </tpls>
      </n>
      <n v="-507.00253890000005" in="0">
        <tpls c="6">
          <tpl fld="3" item="3"/>
          <tpl hier="15" item="0"/>
          <tpl fld="2" item="0"/>
          <tpl hier="45" item="2"/>
          <tpl fld="1" item="1"/>
          <tpl hier="68" item="1"/>
        </tpls>
      </n>
      <m in="0">
        <tpls c="7">
          <tpl fld="3" item="12"/>
          <tpl hier="15" item="0"/>
          <tpl fld="2" item="0"/>
          <tpl hier="45" item="2"/>
          <tpl fld="4" item="4"/>
          <tpl fld="1" item="0"/>
          <tpl hier="68" item="1"/>
        </tpls>
      </m>
      <m in="0">
        <tpls c="7">
          <tpl fld="3" item="12"/>
          <tpl hier="15" item="0"/>
          <tpl fld="2" item="0"/>
          <tpl hier="45" item="2"/>
          <tpl fld="4" item="4"/>
          <tpl fld="1" item="1"/>
          <tpl hier="68" item="1"/>
        </tpls>
      </m>
      <m in="0">
        <tpls c="7">
          <tpl fld="3" item="12"/>
          <tpl hier="15" item="0"/>
          <tpl fld="2" item="0"/>
          <tpl hier="45" item="2"/>
          <tpl fld="4" item="0"/>
          <tpl fld="1" item="0"/>
          <tpl hier="68" item="1"/>
        </tpls>
      </m>
      <m in="0">
        <tpls c="7">
          <tpl fld="3" item="12"/>
          <tpl hier="15" item="0"/>
          <tpl fld="2" item="0"/>
          <tpl hier="45" item="2"/>
          <tpl fld="4" item="0"/>
          <tpl fld="1" item="1"/>
          <tpl hier="68" item="1"/>
        </tpls>
      </m>
      <n v="-182.081231" in="0">
        <tpls c="7">
          <tpl fld="3" item="12"/>
          <tpl hier="15" item="0"/>
          <tpl fld="2" item="0"/>
          <tpl hier="45" item="2"/>
          <tpl fld="4" item="3"/>
          <tpl fld="1" item="0"/>
          <tpl hier="68" item="1"/>
        </tpls>
      </n>
      <n v="-200.28935410000003" in="0">
        <tpls c="7">
          <tpl fld="3" item="12"/>
          <tpl hier="15" item="0"/>
          <tpl fld="2" item="0"/>
          <tpl hier="45" item="2"/>
          <tpl fld="4" item="3"/>
          <tpl fld="1" item="1"/>
          <tpl hier="68" item="1"/>
        </tpls>
      </n>
      <n v="-192.58739199999999" in="0">
        <tpls c="7">
          <tpl fld="3" item="12"/>
          <tpl hier="15" item="0"/>
          <tpl fld="2" item="0"/>
          <tpl hier="45" item="2"/>
          <tpl fld="4" item="1"/>
          <tpl fld="1" item="0"/>
          <tpl hier="68" item="1"/>
        </tpls>
      </n>
      <n v="-211.8461312" in="0">
        <tpls c="7">
          <tpl fld="3" item="12"/>
          <tpl hier="15" item="0"/>
          <tpl fld="2" item="0"/>
          <tpl hier="45" item="2"/>
          <tpl fld="4" item="1"/>
          <tpl fld="1" item="1"/>
          <tpl hier="68" item="1"/>
        </tpls>
      </n>
      <n v="-525.44247700000005" in="0">
        <tpls c="7">
          <tpl fld="3" item="12"/>
          <tpl hier="15" item="0"/>
          <tpl fld="2" item="0"/>
          <tpl hier="45" item="2"/>
          <tpl fld="4" item="2"/>
          <tpl fld="1" item="0"/>
          <tpl hier="68" item="1"/>
        </tpls>
      </n>
      <n v="-577.98672470000008" in="0">
        <tpls c="7">
          <tpl fld="3" item="12"/>
          <tpl hier="15" item="0"/>
          <tpl fld="2" item="0"/>
          <tpl hier="45" item="2"/>
          <tpl fld="4" item="2"/>
          <tpl fld="1" item="1"/>
          <tpl hier="68" item="1"/>
        </tpls>
      </n>
      <n v="-900.11109999999996" in="0">
        <tpls c="6">
          <tpl fld="3" item="12"/>
          <tpl hier="15" item="0"/>
          <tpl fld="2" item="0"/>
          <tpl hier="45" item="2"/>
          <tpl fld="1" item="0"/>
          <tpl hier="68" item="1"/>
        </tpls>
      </n>
      <n v="-990.12221000000022" in="0">
        <tpls c="6">
          <tpl fld="3" item="12"/>
          <tpl hier="15" item="0"/>
          <tpl fld="2" item="0"/>
          <tpl hier="45" item="2"/>
          <tpl fld="1" item="1"/>
          <tpl hier="68" item="1"/>
        </tpls>
      </n>
      <m in="0">
        <tpls c="7">
          <tpl fld="3" item="16"/>
          <tpl hier="15" item="0"/>
          <tpl fld="2" item="0"/>
          <tpl hier="45" item="2"/>
          <tpl fld="4" item="4"/>
          <tpl fld="1" item="0"/>
          <tpl hier="68" item="1"/>
        </tpls>
      </m>
      <m in="0">
        <tpls c="7">
          <tpl fld="3" item="16"/>
          <tpl hier="15" item="0"/>
          <tpl fld="2" item="0"/>
          <tpl hier="45" item="2"/>
          <tpl fld="4" item="4"/>
          <tpl fld="1" item="1"/>
          <tpl hier="68" item="1"/>
        </tpls>
      </m>
      <m in="0">
        <tpls c="7">
          <tpl fld="3" item="16"/>
          <tpl hier="15" item="0"/>
          <tpl fld="2" item="0"/>
          <tpl hier="45" item="2"/>
          <tpl fld="4" item="0"/>
          <tpl fld="1" item="0"/>
          <tpl hier="68" item="1"/>
        </tpls>
      </m>
      <m in="0">
        <tpls c="7">
          <tpl fld="3" item="16"/>
          <tpl hier="15" item="0"/>
          <tpl fld="2" item="0"/>
          <tpl hier="45" item="2"/>
          <tpl fld="4" item="0"/>
          <tpl fld="1" item="1"/>
          <tpl hier="68" item="1"/>
        </tpls>
      </m>
      <n v="-785.41279499999996" in="0">
        <tpls c="7">
          <tpl fld="3" item="16"/>
          <tpl hier="15" item="0"/>
          <tpl fld="2" item="0"/>
          <tpl hier="45" item="2"/>
          <tpl fld="4" item="3"/>
          <tpl fld="1" item="0"/>
          <tpl hier="68" item="1"/>
        </tpls>
      </n>
      <n v="-863.95407450000016" in="0">
        <tpls c="7">
          <tpl fld="3" item="16"/>
          <tpl hier="15" item="0"/>
          <tpl fld="2" item="0"/>
          <tpl hier="45" item="2"/>
          <tpl fld="4" item="3"/>
          <tpl fld="1" item="1"/>
          <tpl hier="68" item="1"/>
        </tpls>
      </n>
      <n v="-159.69394700000001" in="0">
        <tpls c="7">
          <tpl fld="3" item="16"/>
          <tpl hier="15" item="0"/>
          <tpl fld="2" item="0"/>
          <tpl hier="45" item="2"/>
          <tpl fld="4" item="1"/>
          <tpl fld="1" item="0"/>
          <tpl hier="68" item="1"/>
        </tpls>
      </n>
      <n v="-175.66334170000002" in="0">
        <tpls c="7">
          <tpl fld="3" item="16"/>
          <tpl hier="15" item="0"/>
          <tpl fld="2" item="0"/>
          <tpl hier="45" item="2"/>
          <tpl fld="4" item="1"/>
          <tpl fld="1" item="1"/>
          <tpl hier="68" item="1"/>
        </tpls>
      </n>
      <n v="-72.054756999999995" in="0">
        <tpls c="7">
          <tpl fld="3" item="16"/>
          <tpl hier="15" item="0"/>
          <tpl fld="2" item="0"/>
          <tpl hier="45" item="2"/>
          <tpl fld="4" item="2"/>
          <tpl fld="1" item="0"/>
          <tpl hier="68" item="1"/>
        </tpls>
      </n>
      <n v="-79.260232700000003" in="0">
        <tpls c="7">
          <tpl fld="3" item="16"/>
          <tpl hier="15" item="0"/>
          <tpl fld="2" item="0"/>
          <tpl hier="45" item="2"/>
          <tpl fld="4" item="2"/>
          <tpl fld="1" item="1"/>
          <tpl hier="68" item="1"/>
        </tpls>
      </n>
      <n v="-1017.161499" in="0">
        <tpls c="6">
          <tpl fld="3" item="16"/>
          <tpl hier="15" item="0"/>
          <tpl fld="2" item="0"/>
          <tpl hier="45" item="2"/>
          <tpl fld="1" item="0"/>
          <tpl hier="68" item="1"/>
        </tpls>
      </n>
      <n v="-1118.8776489000002" in="0">
        <tpls c="6">
          <tpl fld="3" item="16"/>
          <tpl hier="15" item="0"/>
          <tpl fld="2" item="0"/>
          <tpl hier="45" item="2"/>
          <tpl fld="1" item="1"/>
          <tpl hier="68" item="1"/>
        </tpls>
      </n>
      <m in="0">
        <tpls c="6">
          <tpl fld="3" item="9"/>
          <tpl hier="15" item="0"/>
          <tpl fld="2" item="0"/>
          <tpl hier="45" item="2"/>
          <tpl fld="1" item="0"/>
          <tpl hier="68" item="1"/>
        </tpls>
      </m>
      <n v="-1934.4926951900002" in="0">
        <tpls c="6">
          <tpl fld="3" item="9"/>
          <tpl hier="15" item="0"/>
          <tpl fld="2" item="0"/>
          <tpl hier="45" item="2"/>
          <tpl fld="1" item="1"/>
          <tpl hier="68" item="1"/>
        </tpls>
      </n>
      <n v="-130.87976900000001" in="0">
        <tpls c="6">
          <tpl fld="3" item="6"/>
          <tpl hier="15" item="0"/>
          <tpl fld="2" item="0"/>
          <tpl hier="45" item="2"/>
          <tpl fld="1" item="0"/>
          <tpl hier="68" item="1"/>
        </tpls>
      </n>
      <n v="-247.10002409066504" in="0">
        <tpls c="6">
          <tpl fld="3" item="6"/>
          <tpl hier="15" item="0"/>
          <tpl fld="2" item="0"/>
          <tpl hier="45" item="2"/>
          <tpl fld="1" item="1"/>
          <tpl hier="68" item="1"/>
        </tpls>
      </n>
      <n v="-4512.3276810000007" in="0">
        <tpls c="6">
          <tpl fld="3" item="20"/>
          <tpl hier="15" item="0"/>
          <tpl fld="2" item="0"/>
          <tpl hier="45" item="2"/>
          <tpl fld="1" item="0"/>
          <tpl hier="68" item="1"/>
        </tpls>
      </n>
      <n v="-19952.515294590001" in="0">
        <tpls c="6">
          <tpl fld="3" item="20"/>
          <tpl hier="15" item="0"/>
          <tpl fld="2" item="0"/>
          <tpl hier="45" item="2"/>
          <tpl fld="1" item="1"/>
          <tpl hier="68" item="1"/>
        </tpls>
      </n>
      <m in="0">
        <tpls c="7">
          <tpl fld="3" item="23"/>
          <tpl hier="15" item="0"/>
          <tpl fld="2" item="0"/>
          <tpl hier="45" item="2"/>
          <tpl fld="4" item="4"/>
          <tpl fld="1" item="0"/>
          <tpl hier="68" item="1"/>
        </tpls>
      </m>
      <m in="0">
        <tpls c="7">
          <tpl fld="3" item="23"/>
          <tpl hier="15" item="0"/>
          <tpl fld="2" item="0"/>
          <tpl hier="45" item="2"/>
          <tpl fld="4" item="4"/>
          <tpl fld="1" item="1"/>
          <tpl hier="68" item="1"/>
        </tpls>
      </m>
      <m in="0">
        <tpls c="7">
          <tpl fld="3" item="23"/>
          <tpl hier="15" item="0"/>
          <tpl fld="2" item="0"/>
          <tpl hier="45" item="2"/>
          <tpl fld="4" item="0"/>
          <tpl fld="1" item="0"/>
          <tpl hier="68" item="1"/>
        </tpls>
      </m>
      <m in="0">
        <tpls c="7">
          <tpl fld="3" item="23"/>
          <tpl hier="15" item="0"/>
          <tpl fld="2" item="0"/>
          <tpl hier="45" item="2"/>
          <tpl fld="4" item="0"/>
          <tpl fld="1" item="1"/>
          <tpl hier="68" item="1"/>
        </tpls>
      </m>
      <n v="-2432.3068739999999" in="0">
        <tpls c="7">
          <tpl fld="3" item="23"/>
          <tpl hier="15" item="0"/>
          <tpl fld="2" item="0"/>
          <tpl hier="45" item="2"/>
          <tpl fld="4" item="3"/>
          <tpl fld="1" item="0"/>
          <tpl hier="68" item="1"/>
        </tpls>
      </n>
      <n v="-2675.5375614" in="0">
        <tpls c="7">
          <tpl fld="3" item="23"/>
          <tpl hier="15" item="0"/>
          <tpl fld="2" item="0"/>
          <tpl hier="45" item="2"/>
          <tpl fld="4" item="3"/>
          <tpl fld="1" item="1"/>
          <tpl hier="68" item="1"/>
        </tpls>
      </n>
      <n v="-90.130561999999998" in="0">
        <tpls c="7">
          <tpl fld="3" item="23"/>
          <tpl hier="15" item="0"/>
          <tpl fld="2" item="0"/>
          <tpl hier="45" item="2"/>
          <tpl fld="4" item="1"/>
          <tpl fld="1" item="0"/>
          <tpl hier="68" item="1"/>
        </tpls>
      </n>
      <n v="-99.143618200000006" in="0">
        <tpls c="7">
          <tpl fld="3" item="23"/>
          <tpl hier="15" item="0"/>
          <tpl fld="2" item="0"/>
          <tpl hier="45" item="2"/>
          <tpl fld="4" item="1"/>
          <tpl fld="1" item="1"/>
          <tpl hier="68" item="1"/>
        </tpls>
      </n>
      <m in="0">
        <tpls c="7">
          <tpl fld="3" item="23"/>
          <tpl hier="15" item="0"/>
          <tpl fld="2" item="0"/>
          <tpl hier="45" item="2"/>
          <tpl fld="4" item="2"/>
          <tpl fld="1" item="0"/>
          <tpl hier="68" item="1"/>
        </tpls>
      </m>
      <m in="0">
        <tpls c="7">
          <tpl fld="3" item="23"/>
          <tpl hier="15" item="0"/>
          <tpl fld="2" item="0"/>
          <tpl hier="45" item="2"/>
          <tpl fld="4" item="2"/>
          <tpl fld="1" item="1"/>
          <tpl hier="68" item="1"/>
        </tpls>
      </m>
      <n v="-2522.4374359999997" in="0">
        <tpls c="6">
          <tpl fld="3" item="23"/>
          <tpl hier="15" item="0"/>
          <tpl fld="2" item="0"/>
          <tpl hier="45" item="2"/>
          <tpl fld="1" item="0"/>
          <tpl hier="68" item="1"/>
        </tpls>
      </n>
      <n v="-2774.6811796000002" in="0">
        <tpls c="6">
          <tpl fld="3" item="23"/>
          <tpl hier="15" item="0"/>
          <tpl fld="2" item="0"/>
          <tpl hier="45" item="2"/>
          <tpl fld="1" item="1"/>
          <tpl hier="68" item="1"/>
        </tpls>
      </n>
      <m in="0">
        <tpls c="7">
          <tpl fld="3" item="15"/>
          <tpl hier="15" item="0"/>
          <tpl fld="2" item="0"/>
          <tpl hier="45" item="2"/>
          <tpl fld="4" item="4"/>
          <tpl fld="1" item="0"/>
          <tpl hier="68" item="1"/>
        </tpls>
      </m>
      <m in="0">
        <tpls c="7">
          <tpl fld="3" item="15"/>
          <tpl hier="15" item="0"/>
          <tpl fld="2" item="0"/>
          <tpl hier="45" item="2"/>
          <tpl fld="4" item="4"/>
          <tpl fld="1" item="1"/>
          <tpl hier="68" item="1"/>
        </tpls>
      </m>
      <m in="0">
        <tpls c="7">
          <tpl fld="3" item="15"/>
          <tpl hier="15" item="0"/>
          <tpl fld="2" item="0"/>
          <tpl hier="45" item="2"/>
          <tpl fld="4" item="0"/>
          <tpl fld="1" item="0"/>
          <tpl hier="68" item="1"/>
        </tpls>
      </m>
      <m in="0">
        <tpls c="7">
          <tpl fld="3" item="15"/>
          <tpl hier="15" item="0"/>
          <tpl fld="2" item="0"/>
          <tpl hier="45" item="2"/>
          <tpl fld="4" item="0"/>
          <tpl fld="1" item="1"/>
          <tpl hier="68" item="1"/>
        </tpls>
      </m>
      <n v="-55.083620000000003" in="0">
        <tpls c="7">
          <tpl fld="3" item="15"/>
          <tpl hier="15" item="0"/>
          <tpl fld="2" item="0"/>
          <tpl hier="45" item="2"/>
          <tpl fld="4" item="3"/>
          <tpl fld="1" item="0"/>
          <tpl hier="68" item="1"/>
        </tpls>
      </n>
      <n v="-60.591982000000009" in="0">
        <tpls c="7">
          <tpl fld="3" item="15"/>
          <tpl hier="15" item="0"/>
          <tpl fld="2" item="0"/>
          <tpl hier="45" item="2"/>
          <tpl fld="4" item="3"/>
          <tpl fld="1" item="1"/>
          <tpl hier="68" item="1"/>
        </tpls>
      </n>
      <n v="-60.718798" in="0">
        <tpls c="7">
          <tpl fld="3" item="15"/>
          <tpl hier="15" item="0"/>
          <tpl fld="2" item="0"/>
          <tpl hier="45" item="2"/>
          <tpl fld="4" item="1"/>
          <tpl fld="1" item="0"/>
          <tpl hier="68" item="1"/>
        </tpls>
      </n>
      <n v="-66.790677800000012" in="0">
        <tpls c="7">
          <tpl fld="3" item="15"/>
          <tpl hier="15" item="0"/>
          <tpl fld="2" item="0"/>
          <tpl hier="45" item="2"/>
          <tpl fld="4" item="1"/>
          <tpl fld="1" item="1"/>
          <tpl hier="68" item="1"/>
        </tpls>
      </n>
      <n v="-69.137168000000003" in="0">
        <tpls c="7">
          <tpl fld="3" item="15"/>
          <tpl hier="15" item="0"/>
          <tpl fld="2" item="0"/>
          <tpl hier="45" item="2"/>
          <tpl fld="4" item="2"/>
          <tpl fld="1" item="0"/>
          <tpl hier="68" item="1"/>
        </tpls>
      </n>
      <n v="-76.050884800000006" in="0">
        <tpls c="7">
          <tpl fld="3" item="15"/>
          <tpl hier="15" item="0"/>
          <tpl fld="2" item="0"/>
          <tpl hier="45" item="2"/>
          <tpl fld="4" item="2"/>
          <tpl fld="1" item="1"/>
          <tpl hier="68" item="1"/>
        </tpls>
      </n>
      <n v="-184.93958600000002" in="0">
        <tpls c="6">
          <tpl fld="3" item="15"/>
          <tpl hier="15" item="0"/>
          <tpl fld="2" item="0"/>
          <tpl hier="45" item="2"/>
          <tpl fld="1" item="0"/>
          <tpl hier="68" item="1"/>
        </tpls>
      </n>
      <n v="-203.43354460000003" in="0">
        <tpls c="6">
          <tpl fld="3" item="15"/>
          <tpl hier="15" item="0"/>
          <tpl fld="2" item="0"/>
          <tpl hier="45" item="2"/>
          <tpl fld="1" item="1"/>
          <tpl hier="68" item="1"/>
        </tpls>
      </n>
      <m in="0">
        <tpls c="7">
          <tpl fld="3" item="1"/>
          <tpl hier="15" item="0"/>
          <tpl fld="2" item="0"/>
          <tpl hier="45" item="2"/>
          <tpl fld="4" item="4"/>
          <tpl fld="1" item="0"/>
          <tpl hier="68" item="1"/>
        </tpls>
      </m>
      <m in="0">
        <tpls c="7">
          <tpl fld="3" item="1"/>
          <tpl hier="15" item="0"/>
          <tpl fld="2" item="0"/>
          <tpl hier="45" item="2"/>
          <tpl fld="4" item="4"/>
          <tpl fld="1" item="1"/>
          <tpl hier="68" item="1"/>
        </tpls>
      </m>
      <m in="0">
        <tpls c="7">
          <tpl fld="3" item="1"/>
          <tpl hier="15" item="0"/>
          <tpl fld="2" item="0"/>
          <tpl hier="45" item="2"/>
          <tpl fld="4" item="0"/>
          <tpl fld="1" item="0"/>
          <tpl hier="68" item="1"/>
        </tpls>
      </m>
      <m in="0">
        <tpls c="7">
          <tpl fld="3" item="1"/>
          <tpl hier="15" item="0"/>
          <tpl fld="2" item="0"/>
          <tpl hier="45" item="2"/>
          <tpl fld="4" item="0"/>
          <tpl fld="1" item="1"/>
          <tpl hier="68" item="1"/>
        </tpls>
      </m>
      <n v="-42.792671999999996" in="0">
        <tpls c="7">
          <tpl fld="3" item="1"/>
          <tpl hier="15" item="0"/>
          <tpl fld="2" item="0"/>
          <tpl hier="45" item="2"/>
          <tpl fld="4" item="3"/>
          <tpl fld="1" item="0"/>
          <tpl hier="68" item="1"/>
        </tpls>
      </n>
      <n v="-47.071939200000003" in="0">
        <tpls c="7">
          <tpl fld="3" item="1"/>
          <tpl hier="15" item="0"/>
          <tpl fld="2" item="0"/>
          <tpl hier="45" item="2"/>
          <tpl fld="4" item="3"/>
          <tpl fld="1" item="1"/>
          <tpl hier="68" item="1"/>
        </tpls>
      </n>
      <m in="0">
        <tpls c="7">
          <tpl fld="3" item="1"/>
          <tpl hier="15" item="0"/>
          <tpl fld="2" item="0"/>
          <tpl hier="45" item="2"/>
          <tpl fld="4" item="1"/>
          <tpl fld="1" item="0"/>
          <tpl hier="68" item="1"/>
        </tpls>
      </m>
      <m in="0">
        <tpls c="7">
          <tpl fld="3" item="1"/>
          <tpl hier="15" item="0"/>
          <tpl fld="2" item="0"/>
          <tpl hier="45" item="2"/>
          <tpl fld="4" item="1"/>
          <tpl fld="1" item="1"/>
          <tpl hier="68" item="1"/>
        </tpls>
      </m>
      <n v="-309.12610599999999" in="0">
        <tpls c="7">
          <tpl fld="3" item="1"/>
          <tpl hier="15" item="0"/>
          <tpl fld="2" item="0"/>
          <tpl hier="45" item="2"/>
          <tpl fld="4" item="2"/>
          <tpl fld="1" item="0"/>
          <tpl hier="68" item="1"/>
        </tpls>
      </n>
      <n v="-340.03871660000004" in="0">
        <tpls c="7">
          <tpl fld="3" item="1"/>
          <tpl hier="15" item="0"/>
          <tpl fld="2" item="0"/>
          <tpl hier="45" item="2"/>
          <tpl fld="4" item="2"/>
          <tpl fld="1" item="1"/>
          <tpl hier="68" item="1"/>
        </tpls>
      </n>
      <n v="-351.91877799999997" in="0">
        <tpls c="6">
          <tpl fld="3" item="1"/>
          <tpl hier="15" item="0"/>
          <tpl fld="2" item="0"/>
          <tpl hier="45" item="2"/>
          <tpl fld="1" item="0"/>
          <tpl hier="68" item="1"/>
        </tpls>
      </n>
      <n v="-387.11065580000002" in="0">
        <tpls c="6">
          <tpl fld="3" item="1"/>
          <tpl hier="15" item="0"/>
          <tpl fld="2" item="0"/>
          <tpl hier="45" item="2"/>
          <tpl fld="1" item="1"/>
          <tpl hier="68" item="1"/>
        </tpls>
      </n>
      <n v="-25790.267318999991" in="0">
        <tpls c="5">
          <tpl hier="15" item="0"/>
          <tpl fld="2" item="4"/>
          <tpl hier="45" item="2"/>
          <tpl fld="1" item="0"/>
          <tpl hier="68" item="1"/>
        </tpls>
      </n>
      <n v="-68685.615401600022" in="0">
        <tpls c="5">
          <tpl hier="15" item="0"/>
          <tpl fld="2" item="4"/>
          <tpl hier="45" item="2"/>
          <tpl fld="1" item="1"/>
          <tpl hier="68" item="1"/>
        </tpls>
      </n>
      <n v="20055.304778000012" in="0">
        <tpls c="5">
          <tpl hier="15" item="0"/>
          <tpl hier="17" item="4294967295"/>
          <tpl hier="45" item="2"/>
          <tpl fld="1" item="0"/>
          <tpl hier="68" item="1"/>
        </tpls>
      </n>
      <n v="-37915.200910632113" in="0">
        <tpls c="5">
          <tpl hier="15" item="0"/>
          <tpl hier="17" item="4294967295"/>
          <tpl hier="45" item="2"/>
          <tpl fld="1" item="1"/>
          <tpl hier="68" item="1"/>
        </tpls>
      </n>
      <m in="0">
        <tpls c="7">
          <tpl fld="3" item="21"/>
          <tpl hier="15" item="0"/>
          <tpl fld="2" item="0"/>
          <tpl hier="45" item="2"/>
          <tpl fld="4" item="9"/>
          <tpl fld="1" item="0"/>
          <tpl hier="68" item="1"/>
        </tpls>
      </m>
      <m in="0">
        <tpls c="7">
          <tpl fld="3" item="9"/>
          <tpl hier="15" item="0"/>
          <tpl fld="2" item="0"/>
          <tpl hier="45" item="2"/>
          <tpl fld="4" item="6"/>
          <tpl fld="1" item="1"/>
          <tpl hier="68" item="1"/>
        </tpls>
      </m>
      <m in="0">
        <tpls c="7">
          <tpl fld="3" item="8"/>
          <tpl hier="15" item="0"/>
          <tpl fld="2" item="3"/>
          <tpl hier="45" item="2"/>
          <tpl fld="4" item="7"/>
          <tpl fld="1" item="1"/>
          <tpl hier="68" item="1"/>
        </tpls>
      </m>
      <m in="0">
        <tpls c="7">
          <tpl fld="3" item="20"/>
          <tpl hier="15" item="0"/>
          <tpl fld="2" item="0"/>
          <tpl hier="45" item="2"/>
          <tpl fld="4" item="9"/>
          <tpl fld="1" item="0"/>
          <tpl hier="68" item="1"/>
        </tpls>
      </m>
      <m in="0">
        <tpls c="7">
          <tpl fld="3" item="6"/>
          <tpl hier="15" item="0"/>
          <tpl fld="2" item="0"/>
          <tpl hier="45" item="2"/>
          <tpl fld="4" item="10"/>
          <tpl fld="1" item="0"/>
          <tpl hier="68" item="1"/>
        </tpls>
      </m>
      <n v="766.50110299999994" in="0">
        <tpls c="7">
          <tpl fld="3" item="5"/>
          <tpl hier="15" item="0"/>
          <tpl fld="2" item="2"/>
          <tpl hier="45" item="2"/>
          <tpl fld="4" item="9"/>
          <tpl fld="1" item="0"/>
          <tpl hier="68" item="1"/>
        </tpls>
      </n>
      <n v="752.79132700000002" in="0">
        <tpls c="7">
          <tpl fld="3" item="5"/>
          <tpl hier="15" item="0"/>
          <tpl fld="2" item="2"/>
          <tpl hier="45" item="2"/>
          <tpl fld="4" item="7"/>
          <tpl fld="1" item="1"/>
          <tpl hier="68" item="1"/>
        </tpls>
      </n>
      <m in="0">
        <tpls c="7">
          <tpl fld="3" item="3"/>
          <tpl hier="15" item="0"/>
          <tpl fld="2" item="0"/>
          <tpl hier="45" item="2"/>
          <tpl fld="4" item="6"/>
          <tpl fld="1" item="0"/>
          <tpl hier="68" item="1"/>
        </tpls>
      </m>
      <m in="0">
        <tpls c="7">
          <tpl fld="3" item="21"/>
          <tpl hier="15" item="0"/>
          <tpl fld="2" item="0"/>
          <tpl hier="45" item="2"/>
          <tpl fld="4" item="8"/>
          <tpl fld="1" item="1"/>
          <tpl hier="68" item="1"/>
        </tpls>
      </m>
      <m in="0">
        <tpls c="7">
          <tpl fld="3" item="20"/>
          <tpl hier="15" item="0"/>
          <tpl fld="2" item="0"/>
          <tpl hier="45" item="2"/>
          <tpl fld="4" item="8"/>
          <tpl fld="1" item="1"/>
          <tpl hier="68" item="1"/>
        </tpls>
      </m>
      <m in="0">
        <tpls c="7">
          <tpl fld="3" item="6"/>
          <tpl hier="15" item="0"/>
          <tpl fld="2" item="0"/>
          <tpl hier="45" item="2"/>
          <tpl fld="4" item="9"/>
          <tpl fld="1" item="1"/>
          <tpl hier="68" item="1"/>
        </tpls>
      </m>
      <m in="0">
        <tpls c="7">
          <tpl fld="3" item="4"/>
          <tpl hier="15" item="0"/>
          <tpl fld="2" item="0"/>
          <tpl hier="45" item="2"/>
          <tpl fld="4" item="6"/>
          <tpl fld="1" item="1"/>
          <tpl hier="68" item="1"/>
        </tpls>
      </m>
      <m in="0">
        <tpls c="7">
          <tpl fld="3" item="21"/>
          <tpl hier="15" item="0"/>
          <tpl fld="2" item="0"/>
          <tpl hier="45" item="2"/>
          <tpl fld="4" item="7"/>
          <tpl fld="1" item="1"/>
          <tpl hier="68" item="1"/>
        </tpls>
      </m>
      <m in="0">
        <tpls c="7">
          <tpl fld="3" item="6"/>
          <tpl hier="15" item="0"/>
          <tpl fld="2" item="0"/>
          <tpl hier="45" item="2"/>
          <tpl fld="4" item="5"/>
          <tpl fld="1" item="1"/>
          <tpl hier="68" item="1"/>
        </tpls>
      </m>
      <m in="0">
        <tpls c="7">
          <tpl fld="3" item="9"/>
          <tpl hier="15" item="0"/>
          <tpl fld="2" item="0"/>
          <tpl hier="45" item="2"/>
          <tpl fld="4" item="8"/>
          <tpl fld="1" item="0"/>
          <tpl hier="68" item="1"/>
        </tpls>
      </m>
      <m in="0">
        <tpls c="7">
          <tpl fld="3" item="8"/>
          <tpl hier="15" item="0"/>
          <tpl fld="2" item="3"/>
          <tpl hier="45" item="2"/>
          <tpl fld="4" item="10"/>
          <tpl fld="1" item="0"/>
          <tpl hier="68" item="1"/>
        </tpls>
      </m>
      <m in="0">
        <tpls c="7">
          <tpl fld="3" item="20"/>
          <tpl hier="15" item="0"/>
          <tpl fld="2" item="0"/>
          <tpl hier="45" item="2"/>
          <tpl fld="4" item="5"/>
          <tpl fld="1" item="1"/>
          <tpl hier="68" item="1"/>
        </tpls>
      </m>
      <m in="0">
        <tpls c="7">
          <tpl fld="3" item="26"/>
          <tpl hier="15" item="0"/>
          <tpl fld="2" item="2"/>
          <tpl hier="45" item="2"/>
          <tpl fld="4" item="4"/>
          <tpl fld="1" item="1"/>
          <tpl hier="68" item="1"/>
        </tpls>
      </m>
      <m in="0">
        <tpls c="7">
          <tpl fld="3" item="3"/>
          <tpl hier="15" item="0"/>
          <tpl fld="2" item="0"/>
          <tpl hier="45" item="2"/>
          <tpl fld="4" item="10"/>
          <tpl fld="1" item="0"/>
          <tpl hier="68" item="1"/>
        </tpls>
      </m>
      <m in="0">
        <tpls c="7">
          <tpl fld="3" item="25"/>
          <tpl hier="15" item="0"/>
          <tpl fld="2" item="3"/>
          <tpl hier="45" item="2"/>
          <tpl fld="4" item="8"/>
          <tpl fld="1" item="0"/>
          <tpl hier="68" item="1"/>
        </tpls>
      </m>
      <m in="0">
        <tpls c="7">
          <tpl fld="3" item="25"/>
          <tpl hier="15" item="0"/>
          <tpl fld="2" item="3"/>
          <tpl hier="45" item="2"/>
          <tpl fld="4" item="7"/>
          <tpl fld="1" item="0"/>
          <tpl hier="68" item="1"/>
        </tpls>
      </m>
      <m in="0">
        <tpls c="7">
          <tpl fld="3" item="26"/>
          <tpl hier="15" item="0"/>
          <tpl fld="2" item="2"/>
          <tpl hier="45" item="2"/>
          <tpl fld="4" item="10"/>
          <tpl fld="1" item="0"/>
          <tpl hier="68" item="1"/>
        </tpls>
      </m>
      <n v="1807.3377895648409" in="0">
        <tpls c="7">
          <tpl fld="3" item="5"/>
          <tpl hier="15" item="0"/>
          <tpl fld="2" item="2"/>
          <tpl hier="45" item="2"/>
          <tpl fld="4" item="6"/>
          <tpl fld="1" item="1"/>
          <tpl hier="68" item="1"/>
        </tpls>
      </n>
      <m in="0">
        <tpls c="7">
          <tpl fld="3" item="20"/>
          <tpl hier="15" item="0"/>
          <tpl fld="2" item="0"/>
          <tpl hier="45" item="2"/>
          <tpl fld="4" item="8"/>
          <tpl fld="1" item="0"/>
          <tpl hier="68" item="1"/>
        </tpls>
      </m>
      <m in="0">
        <tpls c="7">
          <tpl fld="3" item="6"/>
          <tpl hier="15" item="0"/>
          <tpl fld="2" item="0"/>
          <tpl hier="45" item="2"/>
          <tpl fld="4" item="9"/>
          <tpl fld="1" item="0"/>
          <tpl hier="68" item="1"/>
        </tpls>
      </m>
      <m in="0">
        <tpls c="7">
          <tpl fld="3" item="9"/>
          <tpl hier="15" item="0"/>
          <tpl fld="2" item="0"/>
          <tpl hier="45" item="2"/>
          <tpl fld="4" item="10"/>
          <tpl fld="1" item="0"/>
          <tpl hier="68" item="1"/>
        </tpls>
      </m>
      <m in="0">
        <tpls c="7">
          <tpl fld="3" item="4"/>
          <tpl hier="15" item="0"/>
          <tpl fld="2" item="0"/>
          <tpl hier="45" item="2"/>
          <tpl fld="4" item="6"/>
          <tpl fld="1" item="0"/>
          <tpl hier="68" item="1"/>
        </tpls>
      </m>
      <m in="0">
        <tpls c="7">
          <tpl fld="3" item="21"/>
          <tpl hier="15" item="0"/>
          <tpl fld="2" item="0"/>
          <tpl hier="45" item="2"/>
          <tpl fld="4" item="7"/>
          <tpl fld="1" item="0"/>
          <tpl hier="68" item="1"/>
        </tpls>
      </m>
      <m in="0">
        <tpls c="7">
          <tpl fld="3" item="26"/>
          <tpl hier="15" item="0"/>
          <tpl fld="2" item="2"/>
          <tpl hier="45" item="2"/>
          <tpl fld="4" item="1"/>
          <tpl fld="1" item="0"/>
          <tpl hier="68" item="1"/>
        </tpls>
      </m>
      <m in="0">
        <tpls c="7">
          <tpl fld="3" item="25"/>
          <tpl hier="15" item="0"/>
          <tpl fld="2" item="3"/>
          <tpl hier="45" item="2"/>
          <tpl fld="4" item="9"/>
          <tpl fld="1" item="0"/>
          <tpl hier="68" item="1"/>
        </tpls>
      </m>
      <m in="0">
        <tpls c="7">
          <tpl fld="3" item="26"/>
          <tpl hier="15" item="0"/>
          <tpl fld="2" item="2"/>
          <tpl hier="45" item="2"/>
          <tpl fld="4" item="0"/>
          <tpl fld="1" item="0"/>
          <tpl hier="68" item="1"/>
        </tpls>
      </m>
      <m in="0">
        <tpls c="7">
          <tpl fld="3" item="9"/>
          <tpl hier="15" item="0"/>
          <tpl fld="2" item="0"/>
          <tpl hier="45" item="2"/>
          <tpl fld="4" item="7"/>
          <tpl fld="1" item="1"/>
          <tpl hier="68" item="1"/>
        </tpls>
      </m>
      <m in="0">
        <tpls c="7">
          <tpl fld="3" item="8"/>
          <tpl hier="15" item="0"/>
          <tpl fld="2" item="3"/>
          <tpl hier="45" item="2"/>
          <tpl fld="4" item="9"/>
          <tpl fld="1" item="1"/>
          <tpl hier="68" item="1"/>
        </tpls>
      </m>
      <m in="0">
        <tpls c="7">
          <tpl fld="3" item="9"/>
          <tpl hier="15" item="0"/>
          <tpl fld="2" item="0"/>
          <tpl hier="45" item="2"/>
          <tpl fld="4" item="7"/>
          <tpl fld="1" item="0"/>
          <tpl hier="68" item="1"/>
        </tpls>
      </m>
      <m in="0">
        <tpls c="6">
          <tpl hier="15" item="0"/>
          <tpl fld="2" item="3"/>
          <tpl hier="45" item="2"/>
          <tpl fld="4" item="10"/>
          <tpl fld="1" item="0"/>
          <tpl hier="68" item="1"/>
        </tpls>
      </m>
      <m in="0">
        <tpls c="7">
          <tpl fld="3" item="3"/>
          <tpl hier="15" item="0"/>
          <tpl fld="2" item="0"/>
          <tpl hier="45" item="2"/>
          <tpl fld="4" item="9"/>
          <tpl fld="1" item="1"/>
          <tpl hier="68" item="1"/>
        </tpls>
      </m>
      <m in="0">
        <tpls c="7">
          <tpl fld="3" item="8"/>
          <tpl hier="15" item="0"/>
          <tpl fld="2" item="3"/>
          <tpl hier="45" item="2"/>
          <tpl fld="4" item="8"/>
          <tpl fld="1" item="1"/>
          <tpl hier="68" item="1"/>
        </tpls>
      </m>
      <n v="767.63080300000001" in="0">
        <tpls c="7">
          <tpl fld="3" item="5"/>
          <tpl hier="15" item="0"/>
          <tpl fld="2" item="2"/>
          <tpl hier="45" item="2"/>
          <tpl fld="4" item="10"/>
          <tpl fld="1" item="0"/>
          <tpl hier="68" item="1"/>
        </tpls>
      </n>
      <m in="0">
        <tpls c="7">
          <tpl fld="3" item="25"/>
          <tpl hier="15" item="0"/>
          <tpl fld="2" item="3"/>
          <tpl hier="45" item="2"/>
          <tpl fld="4" item="6"/>
          <tpl fld="1" item="1"/>
          <tpl hier="68" item="1"/>
        </tpls>
      </m>
      <n v="1250" in="0">
        <tpls c="6">
          <tpl hier="15" item="0"/>
          <tpl hier="17" item="4294967295"/>
          <tpl hier="45" item="2"/>
          <tpl fld="4" item="8"/>
          <tpl fld="1" item="1"/>
          <tpl hier="68" item="1"/>
        </tpls>
      </n>
      <m in="0">
        <tpls c="7">
          <tpl fld="3" item="26"/>
          <tpl hier="15" item="0"/>
          <tpl fld="2" item="2"/>
          <tpl hier="45" item="2"/>
          <tpl fld="4" item="8"/>
          <tpl fld="1" item="0"/>
          <tpl hier="68" item="1"/>
        </tpls>
      </m>
      <m in="0">
        <tpls c="7">
          <tpl fld="3" item="4"/>
          <tpl hier="15" item="0"/>
          <tpl fld="2" item="0"/>
          <tpl hier="45" item="2"/>
          <tpl fld="4" item="9"/>
          <tpl fld="1" item="1"/>
          <tpl hier="68" item="1"/>
        </tpls>
      </m>
      <m in="0">
        <tpls c="7">
          <tpl fld="3" item="20"/>
          <tpl hier="15" item="0"/>
          <tpl fld="2" item="0"/>
          <tpl hier="45" item="2"/>
          <tpl fld="4" item="7"/>
          <tpl fld="1" item="1"/>
          <tpl hier="68" item="1"/>
        </tpls>
      </m>
      <m in="0">
        <tpls c="7">
          <tpl fld="3" item="6"/>
          <tpl hier="15" item="0"/>
          <tpl fld="2" item="0"/>
          <tpl hier="45" item="2"/>
          <tpl fld="4" item="8"/>
          <tpl fld="1" item="1"/>
          <tpl hier="68" item="1"/>
        </tpls>
      </m>
      <m in="0">
        <tpls c="7">
          <tpl fld="3" item="9"/>
          <tpl hier="15" item="0"/>
          <tpl fld="2" item="0"/>
          <tpl hier="45" item="2"/>
          <tpl fld="4" item="9"/>
          <tpl fld="1" item="1"/>
          <tpl hier="68" item="1"/>
        </tpls>
      </m>
      <m in="0">
        <tpls c="7">
          <tpl fld="3" item="4"/>
          <tpl hier="15" item="0"/>
          <tpl fld="2" item="0"/>
          <tpl hier="45" item="2"/>
          <tpl fld="4" item="5"/>
          <tpl fld="1" item="1"/>
          <tpl hier="68" item="1"/>
        </tpls>
      </m>
      <m in="0">
        <tpls c="7">
          <tpl fld="3" item="21"/>
          <tpl hier="15" item="0"/>
          <tpl fld="2" item="0"/>
          <tpl hier="45" item="2"/>
          <tpl fld="4" item="6"/>
          <tpl fld="1" item="1"/>
          <tpl hier="68" item="1"/>
        </tpls>
      </m>
      <m in="0">
        <tpls c="7">
          <tpl fld="3" item="19"/>
          <tpl hier="15" item="0"/>
          <tpl fld="2" item="0"/>
          <tpl hier="45" item="2"/>
          <tpl fld="4" item="7"/>
          <tpl fld="1" item="1"/>
          <tpl hier="68" item="1"/>
        </tpls>
      </m>
      <m in="0">
        <tpls c="7">
          <tpl fld="3" item="0"/>
          <tpl hier="15" item="0"/>
          <tpl fld="2" item="0"/>
          <tpl hier="45" item="2"/>
          <tpl fld="4" item="8"/>
          <tpl fld="1" item="1"/>
          <tpl hier="68" item="1"/>
        </tpls>
      </m>
      <m in="0">
        <tpls c="6">
          <tpl hier="15" item="0"/>
          <tpl fld="2" item="0"/>
          <tpl hier="45" item="2"/>
          <tpl fld="4" item="9"/>
          <tpl fld="1" item="1"/>
          <tpl hier="68" item="1"/>
        </tpls>
      </m>
      <m in="0">
        <tpls c="7">
          <tpl fld="3" item="26"/>
          <tpl hier="15" item="0"/>
          <tpl fld="2" item="2"/>
          <tpl hier="45" item="2"/>
          <tpl fld="4" item="3"/>
          <tpl fld="1" item="1"/>
          <tpl hier="68" item="1"/>
        </tpls>
      </m>
      <m in="0">
        <tpls c="7">
          <tpl fld="3" item="19"/>
          <tpl hier="15" item="0"/>
          <tpl fld="2" item="0"/>
          <tpl hier="45" item="2"/>
          <tpl fld="4" item="5"/>
          <tpl fld="1" item="0"/>
          <tpl hier="68" item="1"/>
        </tpls>
      </m>
      <m in="0">
        <tpls c="7">
          <tpl fld="3" item="25"/>
          <tpl hier="15" item="0"/>
          <tpl fld="2" item="3"/>
          <tpl hier="45" item="2"/>
          <tpl fld="4" item="7"/>
          <tpl fld="1" item="1"/>
          <tpl hier="68" item="1"/>
        </tpls>
      </m>
      <m in="0">
        <tpls c="7">
          <tpl fld="3" item="9"/>
          <tpl hier="15" item="0"/>
          <tpl fld="2" item="0"/>
          <tpl hier="45" item="2"/>
          <tpl fld="4" item="5"/>
          <tpl fld="1" item="1"/>
          <tpl hier="68" item="1"/>
        </tpls>
      </m>
      <m in="0">
        <tpls c="6">
          <tpl hier="15" item="0"/>
          <tpl fld="2" item="0"/>
          <tpl hier="45" item="2"/>
          <tpl fld="4" item="5"/>
          <tpl fld="1" item="1"/>
          <tpl hier="68" item="1"/>
        </tpls>
      </m>
      <m in="0">
        <tpls c="7">
          <tpl fld="3" item="25"/>
          <tpl hier="15" item="0"/>
          <tpl fld="2" item="3"/>
          <tpl hier="45" item="2"/>
          <tpl fld="4" item="6"/>
          <tpl fld="1" item="0"/>
          <tpl hier="68" item="1"/>
        </tpls>
      </m>
      <m in="0">
        <tpls c="6">
          <tpl hier="15" item="0"/>
          <tpl fld="2" item="3"/>
          <tpl hier="45" item="2"/>
          <tpl fld="4" item="6"/>
          <tpl fld="1" item="1"/>
          <tpl hier="68" item="1"/>
        </tpls>
      </m>
      <n v="1342.7443939999998" in="0">
        <tpls c="6">
          <tpl hier="15" item="0"/>
          <tpl hier="17" item="4294967295"/>
          <tpl hier="45" item="2"/>
          <tpl fld="4" item="8"/>
          <tpl fld="1" item="0"/>
          <tpl hier="68" item="1"/>
        </tpls>
      </n>
      <n v="752.79132700000002" in="0">
        <tpls c="7">
          <tpl fld="3" item="5"/>
          <tpl hier="15" item="0"/>
          <tpl fld="2" item="2"/>
          <tpl hier="45" item="2"/>
          <tpl fld="4" item="7"/>
          <tpl fld="1" item="0"/>
          <tpl hier="68" item="1"/>
        </tpls>
      </n>
      <m in="0">
        <tpls c="6">
          <tpl hier="15" item="0"/>
          <tpl fld="2" item="3"/>
          <tpl hier="45" item="2"/>
          <tpl fld="4" item="5"/>
          <tpl fld="1" item="1"/>
          <tpl hier="68" item="1"/>
        </tpls>
      </m>
      <n v="594.48961099999997" in="0">
        <tpls c="6">
          <tpl hier="15" item="0"/>
          <tpl hier="17" item="4294967295"/>
          <tpl hier="45" item="2"/>
          <tpl fld="4" item="7"/>
          <tpl fld="1" item="0"/>
          <tpl hier="68" item="1"/>
        </tpls>
      </n>
      <n v="753.06343700000002" in="0">
        <tpls c="7">
          <tpl fld="3" item="5"/>
          <tpl hier="15" item="0"/>
          <tpl fld="2" item="2"/>
          <tpl hier="45" item="2"/>
          <tpl fld="4" item="6"/>
          <tpl fld="1" item="0"/>
          <tpl hier="68" item="1"/>
        </tpls>
      </n>
      <n v="752.79132700000002" in="0">
        <tpls c="6">
          <tpl hier="15" item="0"/>
          <tpl fld="2" item="2"/>
          <tpl hier="45" item="2"/>
          <tpl fld="4" item="7"/>
          <tpl fld="1" item="1"/>
          <tpl hier="68" item="1"/>
        </tpls>
      </n>
      <m in="0">
        <tpls c="7">
          <tpl fld="3" item="1"/>
          <tpl hier="15" item="0"/>
          <tpl fld="2" item="0"/>
          <tpl hier="45" item="2"/>
          <tpl fld="4" item="8"/>
          <tpl fld="1" item="0"/>
          <tpl hier="68" item="1"/>
        </tpls>
      </m>
      <m in="0">
        <tpls c="7">
          <tpl fld="3" item="20"/>
          <tpl hier="15" item="0"/>
          <tpl fld="2" item="0"/>
          <tpl hier="45" item="2"/>
          <tpl fld="4" item="7"/>
          <tpl fld="1" item="0"/>
          <tpl hier="68" item="1"/>
        </tpls>
      </m>
      <m in="0">
        <tpls c="7">
          <tpl fld="3" item="6"/>
          <tpl hier="15" item="0"/>
          <tpl fld="2" item="0"/>
          <tpl hier="45" item="2"/>
          <tpl fld="4" item="8"/>
          <tpl fld="1" item="0"/>
          <tpl hier="68" item="1"/>
        </tpls>
      </m>
      <m in="0">
        <tpls c="7">
          <tpl fld="3" item="9"/>
          <tpl hier="15" item="0"/>
          <tpl fld="2" item="0"/>
          <tpl hier="45" item="2"/>
          <tpl fld="4" item="9"/>
          <tpl fld="1" item="0"/>
          <tpl hier="68" item="1"/>
        </tpls>
      </m>
      <m in="0">
        <tpls c="7">
          <tpl fld="3" item="4"/>
          <tpl hier="15" item="0"/>
          <tpl fld="2" item="0"/>
          <tpl hier="45" item="2"/>
          <tpl fld="4" item="5"/>
          <tpl fld="1" item="0"/>
          <tpl hier="68" item="1"/>
        </tpls>
      </m>
      <m in="0">
        <tpls c="7">
          <tpl fld="3" item="21"/>
          <tpl hier="15" item="0"/>
          <tpl fld="2" item="0"/>
          <tpl hier="45" item="2"/>
          <tpl fld="4" item="6"/>
          <tpl fld="1" item="0"/>
          <tpl hier="68" item="1"/>
        </tpls>
      </m>
      <m in="0">
        <tpls c="7">
          <tpl fld="3" item="19"/>
          <tpl hier="15" item="0"/>
          <tpl fld="2" item="0"/>
          <tpl hier="45" item="2"/>
          <tpl fld="4" item="7"/>
          <tpl fld="1" item="0"/>
          <tpl hier="68" item="1"/>
        </tpls>
      </m>
      <m in="0">
        <tpls c="7">
          <tpl fld="3" item="0"/>
          <tpl hier="15" item="0"/>
          <tpl fld="2" item="0"/>
          <tpl hier="45" item="2"/>
          <tpl fld="4" item="8"/>
          <tpl fld="1" item="0"/>
          <tpl hier="68" item="1"/>
        </tpls>
      </m>
      <m in="0">
        <tpls c="6">
          <tpl hier="15" item="0"/>
          <tpl fld="2" item="0"/>
          <tpl hier="45" item="2"/>
          <tpl fld="4" item="9"/>
          <tpl fld="1" item="0"/>
          <tpl hier="68" item="1"/>
        </tpls>
      </m>
      <m in="0">
        <tpls c="7">
          <tpl fld="3" item="25"/>
          <tpl hier="15" item="0"/>
          <tpl fld="2" item="3"/>
          <tpl hier="45" item="2"/>
          <tpl fld="4" item="10"/>
          <tpl fld="1" item="0"/>
          <tpl hier="68" item="1"/>
        </tpls>
      </m>
      <m in="0">
        <tpls c="7">
          <tpl fld="3" item="26"/>
          <tpl hier="15" item="0"/>
          <tpl fld="2" item="2"/>
          <tpl hier="45" item="2"/>
          <tpl fld="4" item="3"/>
          <tpl fld="1" item="0"/>
          <tpl hier="68" item="1"/>
        </tpls>
      </m>
      <m in="0">
        <tpls c="7">
          <tpl fld="3" item="20"/>
          <tpl hier="15" item="0"/>
          <tpl fld="2" item="0"/>
          <tpl hier="45" item="2"/>
          <tpl fld="4" item="6"/>
          <tpl fld="1" item="0"/>
          <tpl hier="68" item="1"/>
        </tpls>
      </m>
      <m in="0">
        <tpls c="7">
          <tpl fld="3" item="19"/>
          <tpl hier="15" item="0"/>
          <tpl fld="2" item="0"/>
          <tpl hier="45" item="2"/>
          <tpl fld="4" item="6"/>
          <tpl fld="1" item="0"/>
          <tpl hier="68" item="1"/>
        </tpls>
      </m>
      <m in="0">
        <tpls c="6">
          <tpl hier="15" item="0"/>
          <tpl fld="2" item="0"/>
          <tpl hier="45" item="2"/>
          <tpl fld="4" item="8"/>
          <tpl fld="1" item="0"/>
          <tpl hier="68" item="1"/>
        </tpls>
      </m>
      <m in="0">
        <tpls c="7">
          <tpl fld="3" item="26"/>
          <tpl hier="15" item="0"/>
          <tpl fld="2" item="2"/>
          <tpl hier="45" item="2"/>
          <tpl fld="4" item="4"/>
          <tpl fld="1" item="0"/>
          <tpl hier="68" item="1"/>
        </tpls>
      </m>
      <m in="0">
        <tpls c="7">
          <tpl fld="3" item="3"/>
          <tpl hier="15" item="0"/>
          <tpl fld="2" item="0"/>
          <tpl hier="45" item="2"/>
          <tpl fld="4" item="9"/>
          <tpl fld="1" item="0"/>
          <tpl hier="68" item="1"/>
        </tpls>
      </m>
      <m in="0">
        <tpls c="7">
          <tpl fld="3" item="0"/>
          <tpl hier="15" item="0"/>
          <tpl fld="2" item="0"/>
          <tpl hier="45" item="2"/>
          <tpl fld="4" item="5"/>
          <tpl fld="1" item="0"/>
          <tpl hier="68" item="1"/>
        </tpls>
      </m>
      <m in="0">
        <tpls c="7">
          <tpl fld="3" item="8"/>
          <tpl hier="15" item="0"/>
          <tpl fld="2" item="3"/>
          <tpl hier="45" item="2"/>
          <tpl fld="4" item="7"/>
          <tpl fld="1" item="0"/>
          <tpl hier="68" item="1"/>
        </tpls>
      </m>
      <n v="-200" in="0">
        <tpls c="6">
          <tpl hier="15" item="0"/>
          <tpl fld="2" item="4"/>
          <tpl hier="45" item="2"/>
          <tpl fld="4" item="9"/>
          <tpl fld="1" item="1"/>
          <tpl hier="68" item="1"/>
        </tpls>
      </n>
      <m in="0">
        <tpls c="7">
          <tpl fld="3" item="18"/>
          <tpl hier="15" item="0"/>
          <tpl fld="2" item="0"/>
          <tpl hier="45" item="2"/>
          <tpl fld="4" item="9"/>
          <tpl fld="1" item="1"/>
          <tpl hier="68" item="1"/>
        </tpls>
      </m>
      <n v="-152.03587400000001" in="0">
        <tpls c="6">
          <tpl hier="15" item="0"/>
          <tpl fld="2" item="4"/>
          <tpl hier="45" item="2"/>
          <tpl fld="4" item="8"/>
          <tpl fld="1" item="0"/>
          <tpl hier="68" item="1"/>
        </tpls>
      </n>
      <m in="0">
        <tpls c="7">
          <tpl fld="3" item="3"/>
          <tpl hier="15" item="0"/>
          <tpl fld="2" item="0"/>
          <tpl hier="45" item="2"/>
          <tpl fld="4" item="5"/>
          <tpl fld="1" item="0"/>
          <tpl hier="68" item="1"/>
        </tpls>
      </m>
      <m in="0">
        <tpls c="6">
          <tpl hier="15" item="0"/>
          <tpl fld="2" item="3"/>
          <tpl hier="45" item="2"/>
          <tpl fld="4" item="5"/>
          <tpl fld="1" item="0"/>
          <tpl hier="68" item="1"/>
        </tpls>
      </m>
      <m in="0">
        <tpls c="7">
          <tpl fld="3" item="18"/>
          <tpl hier="15" item="0"/>
          <tpl fld="2" item="0"/>
          <tpl hier="45" item="2"/>
          <tpl fld="4" item="7"/>
          <tpl fld="1" item="1"/>
          <tpl hier="68" item="1"/>
        </tpls>
      </m>
      <m in="0">
        <tpls c="7">
          <tpl fld="3" item="26"/>
          <tpl hier="15" item="0"/>
          <tpl fld="2" item="2"/>
          <tpl hier="45" item="2"/>
          <tpl fld="4" item="6"/>
          <tpl fld="1" item="1"/>
          <tpl hier="68" item="1"/>
        </tpls>
      </m>
      <m in="0">
        <tpls c="7">
          <tpl fld="3" item="21"/>
          <tpl hier="15" item="0"/>
          <tpl fld="2" item="0"/>
          <tpl hier="45" item="2"/>
          <tpl fld="4" item="10"/>
          <tpl fld="1" item="0"/>
          <tpl hier="68" item="1"/>
        </tpls>
      </m>
      <m in="0">
        <tpls c="7">
          <tpl fld="3" item="20"/>
          <tpl hier="15" item="0"/>
          <tpl fld="2" item="0"/>
          <tpl hier="45" item="2"/>
          <tpl fld="4" item="6"/>
          <tpl fld="1" item="1"/>
          <tpl hier="68" item="1"/>
        </tpls>
      </m>
      <m in="0">
        <tpls c="7">
          <tpl fld="3" item="6"/>
          <tpl hier="15" item="0"/>
          <tpl fld="2" item="0"/>
          <tpl hier="45" item="2"/>
          <tpl fld="4" item="7"/>
          <tpl fld="1" item="1"/>
          <tpl hier="68" item="1"/>
        </tpls>
      </m>
      <m in="0">
        <tpls c="7">
          <tpl fld="3" item="9"/>
          <tpl hier="15" item="0"/>
          <tpl fld="2" item="0"/>
          <tpl hier="45" item="2"/>
          <tpl fld="4" item="8"/>
          <tpl fld="1" item="1"/>
          <tpl hier="68" item="1"/>
        </tpls>
      </m>
      <m in="0">
        <tpls c="7">
          <tpl fld="3" item="16"/>
          <tpl hier="15" item="0"/>
          <tpl fld="2" item="0"/>
          <tpl hier="45" item="2"/>
          <tpl fld="4" item="9"/>
          <tpl fld="1" item="1"/>
          <tpl hier="68" item="1"/>
        </tpls>
      </m>
      <m in="0">
        <tpls c="7">
          <tpl fld="3" item="21"/>
          <tpl hier="15" item="0"/>
          <tpl fld="2" item="0"/>
          <tpl hier="45" item="2"/>
          <tpl fld="4" item="5"/>
          <tpl fld="1" item="1"/>
          <tpl hier="68" item="1"/>
        </tpls>
      </m>
      <m in="0">
        <tpls c="7">
          <tpl fld="3" item="19"/>
          <tpl hier="15" item="0"/>
          <tpl fld="2" item="0"/>
          <tpl hier="45" item="2"/>
          <tpl fld="4" item="6"/>
          <tpl fld="1" item="1"/>
          <tpl hier="68" item="1"/>
        </tpls>
      </m>
      <m in="0">
        <tpls c="7">
          <tpl fld="3" item="0"/>
          <tpl hier="15" item="0"/>
          <tpl fld="2" item="0"/>
          <tpl hier="45" item="2"/>
          <tpl fld="4" item="7"/>
          <tpl fld="1" item="1"/>
          <tpl hier="68" item="1"/>
        </tpls>
      </m>
      <m in="0">
        <tpls c="6">
          <tpl hier="15" item="0"/>
          <tpl fld="2" item="0"/>
          <tpl hier="45" item="2"/>
          <tpl fld="4" item="8"/>
          <tpl fld="1" item="1"/>
          <tpl hier="68" item="1"/>
        </tpls>
      </m>
      <m in="0">
        <tpls c="7">
          <tpl fld="3" item="25"/>
          <tpl hier="15" item="0"/>
          <tpl fld="2" item="3"/>
          <tpl hier="45" item="2"/>
          <tpl fld="4" item="9"/>
          <tpl fld="1" item="1"/>
          <tpl hier="68" item="1"/>
        </tpls>
      </m>
      <m in="0">
        <tpls c="7">
          <tpl fld="3" item="26"/>
          <tpl hier="15" item="0"/>
          <tpl fld="2" item="2"/>
          <tpl hier="45" item="2"/>
          <tpl fld="4" item="0"/>
          <tpl fld="1" item="1"/>
          <tpl hier="68" item="1"/>
        </tpls>
      </m>
      <m in="0">
        <tpls c="7">
          <tpl fld="3" item="6"/>
          <tpl hier="15" item="0"/>
          <tpl fld="2" item="0"/>
          <tpl hier="45" item="2"/>
          <tpl fld="4" item="7"/>
          <tpl fld="1" item="0"/>
          <tpl hier="68" item="1"/>
        </tpls>
      </m>
      <m in="0">
        <tpls c="7">
          <tpl fld="3" item="0"/>
          <tpl hier="15" item="0"/>
          <tpl fld="2" item="0"/>
          <tpl hier="45" item="2"/>
          <tpl fld="4" item="7"/>
          <tpl fld="1" item="0"/>
          <tpl hier="68" item="1"/>
        </tpls>
      </m>
      <m in="0">
        <tpls c="7">
          <tpl fld="3" item="6"/>
          <tpl hier="15" item="0"/>
          <tpl fld="2" item="0"/>
          <tpl hier="45" item="2"/>
          <tpl fld="4" item="6"/>
          <tpl fld="1" item="1"/>
          <tpl hier="68" item="1"/>
        </tpls>
      </m>
      <m in="0">
        <tpls c="7">
          <tpl fld="3" item="25"/>
          <tpl hier="15" item="0"/>
          <tpl fld="2" item="3"/>
          <tpl hier="45" item="2"/>
          <tpl fld="4" item="8"/>
          <tpl fld="1" item="1"/>
          <tpl hier="68" item="1"/>
        </tpls>
      </m>
      <m in="0">
        <tpls c="7">
          <tpl fld="3" item="8"/>
          <tpl hier="15" item="0"/>
          <tpl fld="2" item="3"/>
          <tpl hier="45" item="2"/>
          <tpl fld="4" item="9"/>
          <tpl fld="1" item="0"/>
          <tpl hier="68" item="1"/>
        </tpls>
      </m>
      <m in="0">
        <tpls c="7">
          <tpl fld="3" item="16"/>
          <tpl hier="15" item="0"/>
          <tpl fld="2" item="0"/>
          <tpl hier="45" item="2"/>
          <tpl fld="4" item="7"/>
          <tpl fld="1" item="1"/>
          <tpl hier="68" item="1"/>
        </tpls>
      </m>
      <m in="0">
        <tpls c="6">
          <tpl hier="15" item="0"/>
          <tpl fld="2" item="3"/>
          <tpl hier="45" item="2"/>
          <tpl fld="4" item="9"/>
          <tpl fld="1" item="1"/>
          <tpl hier="68" item="1"/>
        </tpls>
      </m>
      <m in="0">
        <tpls c="7">
          <tpl fld="3" item="3"/>
          <tpl hier="15" item="0"/>
          <tpl fld="2" item="0"/>
          <tpl hier="45" item="2"/>
          <tpl fld="4" item="8"/>
          <tpl fld="1" item="1"/>
          <tpl hier="68" item="1"/>
        </tpls>
      </m>
      <n v="800" in="0">
        <tpls c="7">
          <tpl fld="3" item="5"/>
          <tpl hier="15" item="0"/>
          <tpl fld="2" item="2"/>
          <tpl hier="45" item="2"/>
          <tpl fld="4" item="9"/>
          <tpl fld="1" item="1"/>
          <tpl hier="68" item="1"/>
        </tpls>
      </n>
      <n v="598.74723700000004" in="0">
        <tpls c="6">
          <tpl hier="15" item="0"/>
          <tpl hier="17" item="4294967295"/>
          <tpl hier="45" item="2"/>
          <tpl fld="4" item="10"/>
          <tpl fld="1" item="0"/>
          <tpl hier="68" item="1"/>
        </tpls>
      </n>
      <m in="0">
        <tpls c="7">
          <tpl fld="3" item="8"/>
          <tpl hier="15" item="0"/>
          <tpl fld="2" item="3"/>
          <tpl hier="45" item="2"/>
          <tpl fld="4" item="5"/>
          <tpl fld="1" item="1"/>
          <tpl hier="68" item="1"/>
        </tpls>
      </m>
      <m in="0">
        <tpls c="7">
          <tpl fld="3" item="1"/>
          <tpl hier="15" item="0"/>
          <tpl fld="2" item="0"/>
          <tpl hier="45" item="2"/>
          <tpl fld="4" item="10"/>
          <tpl fld="1" item="0"/>
          <tpl hier="68" item="1"/>
        </tpls>
      </m>
      <m in="0">
        <tpls c="7">
          <tpl fld="3" item="13"/>
          <tpl hier="15" item="0"/>
          <tpl fld="2" item="0"/>
          <tpl hier="45" item="2"/>
          <tpl fld="4" item="7"/>
          <tpl fld="1" item="0"/>
          <tpl hier="68" item="1"/>
        </tpls>
      </m>
      <m in="0">
        <tpls c="6">
          <tpl hier="15" item="0"/>
          <tpl fld="2" item="3"/>
          <tpl hier="45" item="2"/>
          <tpl fld="4" item="6"/>
          <tpl fld="1" item="0"/>
          <tpl hier="68" item="1"/>
        </tpls>
      </m>
      <n v="-150" in="0">
        <tpls c="6">
          <tpl hier="15" item="0"/>
          <tpl fld="2" item="4"/>
          <tpl hier="45" item="2"/>
          <tpl fld="4" item="8"/>
          <tpl fld="1" item="1"/>
          <tpl hier="68" item="1"/>
        </tpls>
      </n>
      <m in="0">
        <tpls c="7">
          <tpl fld="3" item="13"/>
          <tpl hier="15" item="0"/>
          <tpl fld="2" item="0"/>
          <tpl hier="45" item="2"/>
          <tpl fld="4" item="6"/>
          <tpl fld="1" item="0"/>
          <tpl hier="68" item="1"/>
        </tpls>
      </m>
      <m in="0">
        <tpls c="7">
          <tpl fld="3" item="26"/>
          <tpl hier="15" item="0"/>
          <tpl fld="2" item="2"/>
          <tpl hier="45" item="2"/>
          <tpl fld="4" item="7"/>
          <tpl fld="1" item="0"/>
          <tpl hier="68" item="1"/>
        </tpls>
      </m>
      <n v="1623.6797380648409" in="0">
        <tpls c="6">
          <tpl hier="15" item="0"/>
          <tpl hier="17" item="4294967295"/>
          <tpl hier="45" item="2"/>
          <tpl fld="4" item="6"/>
          <tpl fld="1" item="1"/>
          <tpl hier="68" item="1"/>
        </tpls>
      </n>
      <m in="0">
        <tpls c="7">
          <tpl fld="3" item="23"/>
          <tpl hier="15" item="0"/>
          <tpl fld="2" item="0"/>
          <tpl hier="45" item="2"/>
          <tpl fld="4" item="10"/>
          <tpl fld="1" item="0"/>
          <tpl hier="68" item="1"/>
        </tpls>
      </m>
      <m in="0">
        <tpls c="7">
          <tpl fld="3" item="18"/>
          <tpl hier="15" item="0"/>
          <tpl fld="2" item="0"/>
          <tpl hier="45" item="2"/>
          <tpl fld="4" item="7"/>
          <tpl fld="1" item="0"/>
          <tpl hier="68" item="1"/>
        </tpls>
      </m>
      <n v="752.79132700000002" in="0">
        <tpls c="6">
          <tpl hier="15" item="0"/>
          <tpl fld="2" item="2"/>
          <tpl hier="45" item="2"/>
          <tpl fld="4" item="7"/>
          <tpl fld="1" item="0"/>
          <tpl hier="68" item="1"/>
        </tpls>
      </n>
      <m in="0">
        <tpls c="7">
          <tpl fld="3" item="0"/>
          <tpl hier="15" item="0"/>
          <tpl fld="2" item="0"/>
          <tpl hier="45" item="2"/>
          <tpl fld="4" item="6"/>
          <tpl fld="1" item="1"/>
          <tpl hier="68" item="1"/>
        </tpls>
      </m>
      <m in="0">
        <tpls c="6">
          <tpl hier="15" item="0"/>
          <tpl fld="2" item="0"/>
          <tpl hier="45" item="2"/>
          <tpl fld="4" item="6"/>
          <tpl fld="1" item="1"/>
          <tpl hier="68" item="1"/>
        </tpls>
      </m>
      <m in="0">
        <tpls c="7">
          <tpl fld="3" item="9"/>
          <tpl hier="15" item="0"/>
          <tpl fld="2" item="0"/>
          <tpl hier="45" item="2"/>
          <tpl fld="4" item="6"/>
          <tpl fld="1" item="0"/>
          <tpl hier="68" item="1"/>
        </tpls>
      </m>
      <m in="0">
        <tpls c="7">
          <tpl fld="3" item="12"/>
          <tpl hier="15" item="0"/>
          <tpl fld="2" item="0"/>
          <tpl hier="45" item="2"/>
          <tpl fld="4" item="8"/>
          <tpl fld="1" item="0"/>
          <tpl hier="68" item="1"/>
        </tpls>
      </m>
      <m in="0">
        <tpls c="7">
          <tpl fld="3" item="13"/>
          <tpl hier="15" item="0"/>
          <tpl fld="2" item="0"/>
          <tpl hier="45" item="2"/>
          <tpl fld="4" item="10"/>
          <tpl fld="1" item="0"/>
          <tpl hier="68" item="1"/>
        </tpls>
      </m>
      <m in="0">
        <tpls c="6">
          <tpl hier="15" item="0"/>
          <tpl fld="2" item="3"/>
          <tpl hier="45" item="2"/>
          <tpl fld="4" item="9"/>
          <tpl fld="1" item="0"/>
          <tpl hier="68" item="1"/>
        </tpls>
      </m>
      <m in="0">
        <tpls c="7">
          <tpl fld="3" item="26"/>
          <tpl hier="15" item="0"/>
          <tpl fld="2" item="2"/>
          <tpl hier="45" item="2"/>
          <tpl fld="4" item="10"/>
          <tpl fld="1" item="1"/>
          <tpl hier="68" item="1"/>
        </tpls>
      </m>
      <m in="0">
        <tpls c="7">
          <tpl fld="3" item="3"/>
          <tpl hier="15" item="0"/>
          <tpl fld="2" item="0"/>
          <tpl hier="45" item="2"/>
          <tpl fld="4" item="6"/>
          <tpl fld="1" item="1"/>
          <tpl hier="68" item="1"/>
        </tpls>
      </m>
      <m in="0">
        <tpls c="7">
          <tpl fld="3" item="26"/>
          <tpl hier="15" item="0"/>
          <tpl fld="2" item="2"/>
          <tpl hier="45" item="2"/>
          <tpl fld="4" item="8"/>
          <tpl fld="1" item="1"/>
          <tpl hier="68" item="1"/>
        </tpls>
      </m>
      <m in="0">
        <tpls c="7">
          <tpl fld="3" item="18"/>
          <tpl hier="15" item="0"/>
          <tpl fld="2" item="0"/>
          <tpl hier="45" item="2"/>
          <tpl fld="4" item="9"/>
          <tpl fld="1" item="0"/>
          <tpl hier="68" item="1"/>
        </tpls>
      </m>
      <n v="766.50110299999994" in="0">
        <tpls c="6">
          <tpl hier="15" item="0"/>
          <tpl fld="2" item="2"/>
          <tpl hier="45" item="2"/>
          <tpl fld="4" item="9"/>
          <tpl fld="1" item="0"/>
          <tpl hier="68" item="1"/>
        </tpls>
      </n>
      <n v="578.6594394" in="0">
        <tpls c="6">
          <tpl hier="15" item="0"/>
          <tpl hier="17" item="4294967295"/>
          <tpl hier="45" item="2"/>
          <tpl fld="4" item="7"/>
          <tpl fld="1" item="1"/>
          <tpl hier="68" item="1"/>
        </tpls>
      </n>
      <m in="0">
        <tpls c="7">
          <tpl fld="3" item="3"/>
          <tpl hier="15" item="0"/>
          <tpl fld="2" item="0"/>
          <tpl hier="45" item="2"/>
          <tpl fld="4" item="5"/>
          <tpl fld="1" item="1"/>
          <tpl hier="68" item="1"/>
        </tpls>
      </m>
      <m in="0">
        <tpls c="7">
          <tpl fld="3" item="15"/>
          <tpl hier="15" item="0"/>
          <tpl fld="2" item="0"/>
          <tpl hier="45" item="2"/>
          <tpl fld="4" item="10"/>
          <tpl fld="1" item="0"/>
          <tpl hier="68" item="1"/>
        </tpls>
      </m>
      <m in="0">
        <tpls c="7">
          <tpl fld="3" item="26"/>
          <tpl hier="15" item="0"/>
          <tpl fld="2" item="2"/>
          <tpl hier="45" item="2"/>
          <tpl fld="4" item="6"/>
          <tpl fld="1" item="0"/>
          <tpl hier="68" item="1"/>
        </tpls>
      </m>
      <n v="600" in="0">
        <tpls c="6">
          <tpl hier="15" item="0"/>
          <tpl hier="17" item="4294967295"/>
          <tpl hier="45" item="2"/>
          <tpl fld="4" item="9"/>
          <tpl fld="1" item="1"/>
          <tpl hier="68" item="1"/>
        </tpls>
      </n>
      <n v="-200" in="0">
        <tpls c="6">
          <tpl hier="15" item="0"/>
          <tpl fld="2" item="4"/>
          <tpl hier="45" item="2"/>
          <tpl fld="4" item="10"/>
          <tpl fld="1" item="1"/>
          <tpl hier="68" item="1"/>
        </tpls>
      </n>
      <m in="0">
        <tpls c="7">
          <tpl fld="3" item="16"/>
          <tpl hier="15" item="0"/>
          <tpl fld="2" item="0"/>
          <tpl hier="45" item="2"/>
          <tpl fld="4" item="5"/>
          <tpl fld="1" item="1"/>
          <tpl hier="68" item="1"/>
        </tpls>
      </m>
      <m in="0">
        <tpls c="7">
          <tpl fld="3" item="12"/>
          <tpl hier="15" item="0"/>
          <tpl fld="2" item="0"/>
          <tpl hier="45" item="2"/>
          <tpl fld="4" item="6"/>
          <tpl fld="1" item="1"/>
          <tpl hier="68" item="1"/>
        </tpls>
      </m>
      <m in="0">
        <tpls c="7">
          <tpl fld="3" item="3"/>
          <tpl hier="15" item="0"/>
          <tpl fld="2" item="0"/>
          <tpl hier="45" item="2"/>
          <tpl fld="4" item="7"/>
          <tpl fld="1" item="1"/>
          <tpl hier="68" item="1"/>
        </tpls>
      </m>
      <m in="0">
        <tpls c="7">
          <tpl fld="3" item="13"/>
          <tpl hier="15" item="0"/>
          <tpl fld="2" item="0"/>
          <tpl hier="45" item="2"/>
          <tpl fld="4" item="8"/>
          <tpl fld="1" item="1"/>
          <tpl hier="68" item="1"/>
        </tpls>
      </m>
      <m in="0">
        <tpls c="7">
          <tpl fld="3" item="18"/>
          <tpl hier="15" item="0"/>
          <tpl fld="2" item="0"/>
          <tpl hier="45" item="2"/>
          <tpl fld="4" item="10"/>
          <tpl fld="1" item="1"/>
          <tpl hier="68" item="1"/>
        </tpls>
      </m>
      <m in="0">
        <tpls c="7">
          <tpl fld="3" item="25"/>
          <tpl hier="15" item="0"/>
          <tpl fld="2" item="3"/>
          <tpl hier="45" item="2"/>
          <tpl fld="4" item="5"/>
          <tpl fld="1" item="1"/>
          <tpl hier="68" item="1"/>
        </tpls>
      </m>
      <m in="0">
        <tpls c="7">
          <tpl fld="3" item="8"/>
          <tpl hier="15" item="0"/>
          <tpl fld="2" item="3"/>
          <tpl hier="45" item="2"/>
          <tpl fld="4" item="6"/>
          <tpl fld="1" item="1"/>
          <tpl hier="68" item="1"/>
        </tpls>
      </m>
      <m in="0">
        <tpls c="6">
          <tpl hier="15" item="0"/>
          <tpl fld="2" item="3"/>
          <tpl hier="45" item="2"/>
          <tpl fld="4" item="7"/>
          <tpl fld="1" item="1"/>
          <tpl hier="68" item="1"/>
        </tpls>
      </m>
      <n v="1400" in="0">
        <tpls c="7">
          <tpl fld="3" item="5"/>
          <tpl hier="15" item="0"/>
          <tpl fld="2" item="2"/>
          <tpl hier="45" item="2"/>
          <tpl fld="4" item="8"/>
          <tpl fld="1" item="1"/>
          <tpl hier="68" item="1"/>
        </tpls>
      </n>
      <m in="0">
        <tpls c="7">
          <tpl fld="3" item="26"/>
          <tpl hier="15" item="0"/>
          <tpl fld="2" item="2"/>
          <tpl hier="45" item="2"/>
          <tpl fld="4" item="9"/>
          <tpl fld="1" item="1"/>
          <tpl hier="68" item="1"/>
        </tpls>
      </m>
      <n v="600" in="0">
        <tpls c="6">
          <tpl hier="15" item="0"/>
          <tpl fld="2" item="2"/>
          <tpl hier="45" item="2"/>
          <tpl fld="4" item="10"/>
          <tpl fld="1" item="1"/>
          <tpl hier="68" item="1"/>
        </tpls>
      </n>
      <n v="607.06401699999992" in="0">
        <tpls c="6">
          <tpl hier="15" item="0"/>
          <tpl hier="17" item="4294967295"/>
          <tpl hier="45" item="2"/>
          <tpl fld="4" item="9"/>
          <tpl fld="1" item="0"/>
          <tpl hier="68" item="1"/>
        </tpls>
      </n>
      <n v="-168.883566" in="0">
        <tpls c="6">
          <tpl hier="15" item="0"/>
          <tpl fld="2" item="4"/>
          <tpl hier="45" item="2"/>
          <tpl fld="4" item="10"/>
          <tpl fld="1" item="0"/>
          <tpl hier="68" item="1"/>
        </tpls>
      </n>
      <m in="0">
        <tpls c="7">
          <tpl fld="3" item="16"/>
          <tpl hier="15" item="0"/>
          <tpl fld="2" item="0"/>
          <tpl hier="45" item="2"/>
          <tpl fld="4" item="5"/>
          <tpl fld="1" item="0"/>
          <tpl hier="68" item="1"/>
        </tpls>
      </m>
      <m in="0">
        <tpls c="7">
          <tpl fld="3" item="12"/>
          <tpl hier="15" item="0"/>
          <tpl fld="2" item="0"/>
          <tpl hier="45" item="2"/>
          <tpl fld="4" item="6"/>
          <tpl fld="1" item="0"/>
          <tpl hier="68" item="1"/>
        </tpls>
      </m>
      <m in="0">
        <tpls c="7">
          <tpl fld="3" item="3"/>
          <tpl hier="15" item="0"/>
          <tpl fld="2" item="0"/>
          <tpl hier="45" item="2"/>
          <tpl fld="4" item="7"/>
          <tpl fld="1" item="0"/>
          <tpl hier="68" item="1"/>
        </tpls>
      </m>
      <m in="0">
        <tpls c="7">
          <tpl fld="3" item="13"/>
          <tpl hier="15" item="0"/>
          <tpl fld="2" item="0"/>
          <tpl hier="45" item="2"/>
          <tpl fld="4" item="8"/>
          <tpl fld="1" item="0"/>
          <tpl hier="68" item="1"/>
        </tpls>
      </m>
      <m in="0">
        <tpls c="7">
          <tpl fld="3" item="24"/>
          <tpl hier="15" item="0"/>
          <tpl fld="2" item="0"/>
          <tpl hier="45" item="2"/>
          <tpl fld="4" item="9"/>
          <tpl fld="1" item="0"/>
          <tpl hier="68" item="1"/>
        </tpls>
      </m>
      <m in="0">
        <tpls c="7">
          <tpl fld="3" item="18"/>
          <tpl hier="15" item="0"/>
          <tpl fld="2" item="0"/>
          <tpl hier="45" item="2"/>
          <tpl fld="4" item="10"/>
          <tpl fld="1" item="0"/>
          <tpl hier="68" item="1"/>
        </tpls>
      </m>
      <m in="0">
        <tpls c="7">
          <tpl fld="3" item="25"/>
          <tpl hier="15" item="0"/>
          <tpl fld="2" item="3"/>
          <tpl hier="45" item="2"/>
          <tpl fld="4" item="5"/>
          <tpl fld="1" item="0"/>
          <tpl hier="68" item="1"/>
        </tpls>
      </m>
      <m in="0">
        <tpls c="7">
          <tpl fld="3" item="8"/>
          <tpl hier="15" item="0"/>
          <tpl fld="2" item="3"/>
          <tpl hier="45" item="2"/>
          <tpl fld="4" item="6"/>
          <tpl fld="1" item="0"/>
          <tpl hier="68" item="1"/>
        </tpls>
      </m>
      <m in="0">
        <tpls c="6">
          <tpl hier="15" item="0"/>
          <tpl fld="2" item="3"/>
          <tpl hier="45" item="2"/>
          <tpl fld="4" item="7"/>
          <tpl fld="1" item="0"/>
          <tpl hier="68" item="1"/>
        </tpls>
      </m>
      <n v="1494.780268" in="0">
        <tpls c="7">
          <tpl fld="3" item="5"/>
          <tpl hier="15" item="0"/>
          <tpl fld="2" item="2"/>
          <tpl hier="45" item="2"/>
          <tpl fld="4" item="8"/>
          <tpl fld="1" item="0"/>
          <tpl hier="68" item="1"/>
        </tpls>
      </n>
      <m in="0">
        <tpls c="7">
          <tpl fld="3" item="26"/>
          <tpl hier="15" item="0"/>
          <tpl fld="2" item="2"/>
          <tpl hier="45" item="2"/>
          <tpl fld="4" item="9"/>
          <tpl fld="1" item="0"/>
          <tpl hier="68" item="1"/>
        </tpls>
      </m>
      <n v="767.63080300000001" in="0">
        <tpls c="6">
          <tpl hier="15" item="0"/>
          <tpl fld="2" item="2"/>
          <tpl hier="45" item="2"/>
          <tpl fld="4" item="10"/>
          <tpl fld="1" item="0"/>
          <tpl hier="68" item="1"/>
        </tpls>
      </n>
      <m in="0">
        <tpls c="7">
          <tpl fld="3" item="26"/>
          <tpl hier="15" item="0"/>
          <tpl fld="2" item="2"/>
          <tpl hier="45" item="2"/>
          <tpl fld="4" item="11"/>
          <tpl fld="1" item="0"/>
          <tpl hier="68" item="1"/>
        </tpls>
      </m>
      <m in="0">
        <tpls c="7">
          <tpl fld="3" item="15"/>
          <tpl hier="15" item="0"/>
          <tpl fld="2" item="0"/>
          <tpl hier="45" item="2"/>
          <tpl fld="4" item="10"/>
          <tpl fld="1" item="1"/>
          <tpl hier="68" item="1"/>
        </tpls>
      </m>
      <m in="0">
        <tpls c="7">
          <tpl fld="3" item="23"/>
          <tpl hier="15" item="0"/>
          <tpl fld="2" item="0"/>
          <tpl hier="45" item="2"/>
          <tpl fld="4" item="11"/>
          <tpl fld="1" item="0"/>
          <tpl hier="68" item="1"/>
        </tpls>
      </m>
      <m in="0">
        <tpls c="7">
          <tpl fld="3" item="7"/>
          <tpl hier="15" item="0"/>
          <tpl fld="2" item="0"/>
          <tpl hier="45" item="2"/>
          <tpl fld="4" item="9"/>
          <tpl fld="1" item="0"/>
          <tpl hier="68" item="1"/>
        </tpls>
      </m>
      <m in="0">
        <tpls c="7">
          <tpl fld="3" item="19"/>
          <tpl hier="15" item="0"/>
          <tpl fld="2" item="0"/>
          <tpl hier="45" item="2"/>
          <tpl fld="4" item="11"/>
          <tpl fld="1" item="0"/>
          <tpl hier="68" item="1"/>
        </tpls>
      </m>
      <n v="747.25609699999995" in="0">
        <tpls c="7">
          <tpl fld="3" item="5"/>
          <tpl hier="15" item="0"/>
          <tpl fld="2" item="2"/>
          <tpl hier="45" item="2"/>
          <tpl fld="4" item="5"/>
          <tpl fld="1" item="0"/>
          <tpl hier="68" item="1"/>
        </tpls>
      </n>
      <m in="0">
        <tpls c="7">
          <tpl fld="3" item="9"/>
          <tpl hier="15" item="0"/>
          <tpl fld="2" item="0"/>
          <tpl hier="45" item="2"/>
          <tpl fld="4" item="11"/>
          <tpl fld="1" item="0"/>
          <tpl hier="68" item="1"/>
        </tpls>
      </m>
      <m in="0">
        <tpls c="7">
          <tpl fld="3" item="21"/>
          <tpl hier="15" item="0"/>
          <tpl fld="2" item="0"/>
          <tpl hier="45" item="2"/>
          <tpl fld="4" item="9"/>
          <tpl fld="1" item="1"/>
          <tpl hier="68" item="1"/>
        </tpls>
      </m>
      <m in="0">
        <tpls c="6">
          <tpl hier="15" item="0"/>
          <tpl fld="2" item="3"/>
          <tpl hier="45" item="2"/>
          <tpl fld="4" item="8"/>
          <tpl fld="1" item="0"/>
          <tpl hier="68" item="1"/>
        </tpls>
      </m>
      <m in="0">
        <tpls c="6">
          <tpl hier="15" item="0"/>
          <tpl fld="2" item="3"/>
          <tpl hier="45" item="2"/>
          <tpl fld="4" item="8"/>
          <tpl fld="1" item="1"/>
          <tpl hier="68" item="1"/>
        </tpls>
      </m>
      <n v="821.98170670000002" in="0">
        <tpls c="7">
          <tpl fld="3" item="5"/>
          <tpl hier="15" item="0"/>
          <tpl fld="2" item="2"/>
          <tpl hier="45" item="2"/>
          <tpl fld="4" item="5"/>
          <tpl fld="1" item="1"/>
          <tpl hier="68" item="1"/>
        </tpls>
      </n>
      <n v="2000" in="0">
        <tpls c="7">
          <tpl fld="3" item="5"/>
          <tpl hier="15" item="0"/>
          <tpl fld="2" item="2"/>
          <tpl hier="45" item="2"/>
          <tpl fld="4" item="11"/>
          <tpl fld="1" item="1"/>
          <tpl hier="68" item="1"/>
        </tpls>
      </n>
      <m in="0">
        <tpls c="7">
          <tpl fld="3" item="20"/>
          <tpl hier="15" item="0"/>
          <tpl fld="2" item="0"/>
          <tpl hier="45" item="2"/>
          <tpl fld="4" item="9"/>
          <tpl fld="1" item="1"/>
          <tpl hier="68" item="1"/>
        </tpls>
      </m>
      <m in="0">
        <tpls c="7">
          <tpl fld="3" item="20"/>
          <tpl hier="15" item="0"/>
          <tpl fld="2" item="0"/>
          <tpl hier="45" item="2"/>
          <tpl fld="4" item="10"/>
          <tpl fld="1" item="0"/>
          <tpl hier="68" item="1"/>
        </tpls>
      </m>
      <m in="0">
        <tpls c="7">
          <tpl fld="3" item="20"/>
          <tpl hier="15" item="0"/>
          <tpl fld="2" item="0"/>
          <tpl hier="45" item="2"/>
          <tpl fld="4" item="10"/>
          <tpl fld="1" item="1"/>
          <tpl hier="68" item="1"/>
        </tpls>
      </m>
      <m in="0">
        <tpls c="7">
          <tpl fld="3" item="6"/>
          <tpl hier="15" item="0"/>
          <tpl fld="2" item="0"/>
          <tpl hier="45" item="2"/>
          <tpl fld="4" item="10"/>
          <tpl fld="1" item="1"/>
          <tpl hier="68" item="1"/>
        </tpls>
      </m>
      <m in="0">
        <tpls c="7">
          <tpl fld="3" item="6"/>
          <tpl hier="15" item="0"/>
          <tpl fld="2" item="0"/>
          <tpl hier="45" item="2"/>
          <tpl fld="4" item="11"/>
          <tpl fld="1" item="0"/>
          <tpl hier="68" item="1"/>
        </tpls>
      </m>
      <m in="0">
        <tpls c="7">
          <tpl fld="3" item="6"/>
          <tpl hier="15" item="0"/>
          <tpl fld="2" item="0"/>
          <tpl hier="45" item="2"/>
          <tpl fld="4" item="6"/>
          <tpl fld="1" item="0"/>
          <tpl hier="68" item="1"/>
        </tpls>
      </m>
      <m in="0">
        <tpls c="7">
          <tpl fld="3" item="6"/>
          <tpl hier="15" item="0"/>
          <tpl fld="2" item="0"/>
          <tpl hier="45" item="2"/>
          <tpl fld="4" item="11"/>
          <tpl fld="1" item="1"/>
          <tpl hier="68" item="1"/>
        </tpls>
      </m>
      <m in="0">
        <tpls c="7">
          <tpl fld="3" item="4"/>
          <tpl hier="15" item="0"/>
          <tpl fld="2" item="0"/>
          <tpl hier="45" item="2"/>
          <tpl fld="4" item="11"/>
          <tpl fld="1" item="0"/>
          <tpl hier="68" item="1"/>
        </tpls>
      </m>
      <m in="0">
        <tpls c="7">
          <tpl fld="3" item="4"/>
          <tpl hier="15" item="0"/>
          <tpl fld="2" item="0"/>
          <tpl hier="45" item="2"/>
          <tpl fld="4" item="7"/>
          <tpl fld="1" item="1"/>
          <tpl hier="68" item="1"/>
        </tpls>
      </m>
      <m in="0">
        <tpls c="7">
          <tpl fld="3" item="4"/>
          <tpl hier="15" item="0"/>
          <tpl fld="2" item="0"/>
          <tpl hier="45" item="2"/>
          <tpl fld="4" item="9"/>
          <tpl fld="1" item="0"/>
          <tpl hier="68" item="1"/>
        </tpls>
      </m>
      <m in="0">
        <tpls c="7">
          <tpl fld="3" item="4"/>
          <tpl hier="15" item="0"/>
          <tpl fld="2" item="0"/>
          <tpl hier="45" item="2"/>
          <tpl fld="4" item="10"/>
          <tpl fld="1" item="1"/>
          <tpl hier="68" item="1"/>
        </tpls>
      </m>
      <m in="0">
        <tpls c="7">
          <tpl fld="3" item="4"/>
          <tpl hier="15" item="0"/>
          <tpl fld="2" item="0"/>
          <tpl hier="45" item="2"/>
          <tpl fld="4" item="11"/>
          <tpl fld="1" item="1"/>
          <tpl hier="68" item="1"/>
        </tpls>
      </m>
      <m in="0">
        <tpls c="7">
          <tpl fld="3" item="4"/>
          <tpl hier="15" item="0"/>
          <tpl fld="2" item="0"/>
          <tpl hier="45" item="2"/>
          <tpl fld="4" item="7"/>
          <tpl fld="1" item="0"/>
          <tpl hier="68" item="1"/>
        </tpls>
      </m>
      <m in="0">
        <tpls c="7">
          <tpl fld="3" item="4"/>
          <tpl hier="15" item="0"/>
          <tpl fld="2" item="0"/>
          <tpl hier="45" item="2"/>
          <tpl fld="4" item="8"/>
          <tpl fld="1" item="0"/>
          <tpl hier="68" item="1"/>
        </tpls>
      </m>
      <m in="0">
        <tpls c="7">
          <tpl fld="3" item="4"/>
          <tpl hier="15" item="0"/>
          <tpl fld="2" item="0"/>
          <tpl hier="45" item="2"/>
          <tpl fld="4" item="10"/>
          <tpl fld="1" item="0"/>
          <tpl hier="68" item="1"/>
        </tpls>
      </m>
      <m in="0">
        <tpls c="7">
          <tpl fld="3" item="4"/>
          <tpl hier="15" item="0"/>
          <tpl fld="2" item="0"/>
          <tpl hier="45" item="2"/>
          <tpl fld="4" item="8"/>
          <tpl fld="1" item="1"/>
          <tpl hier="68" item="1"/>
        </tpls>
      </m>
      <m in="0">
        <tpls c="7">
          <tpl fld="3" item="3"/>
          <tpl hier="15" item="0"/>
          <tpl fld="2" item="0"/>
          <tpl hier="45" item="2"/>
          <tpl fld="4" item="8"/>
          <tpl fld="1" item="0"/>
          <tpl hier="68" item="1"/>
        </tpls>
      </m>
      <m in="0">
        <tpls c="7">
          <tpl fld="3" item="8"/>
          <tpl hier="15" item="0"/>
          <tpl fld="2" item="3"/>
          <tpl hier="45" item="2"/>
          <tpl fld="4" item="8"/>
          <tpl fld="1" item="0"/>
          <tpl hier="68" item="1"/>
        </tpls>
      </m>
      <m in="0">
        <tpls c="7">
          <tpl fld="3" item="21"/>
          <tpl hier="15" item="0"/>
          <tpl fld="2" item="0"/>
          <tpl hier="45" item="2"/>
          <tpl fld="4" item="8"/>
          <tpl fld="1" item="0"/>
          <tpl hier="68" item="1"/>
        </tpls>
      </m>
      <n v="586.10157200000003" in="0">
        <tpls c="6">
          <tpl hier="15" item="0"/>
          <tpl hier="17" item="4294967295"/>
          <tpl hier="45" item="2"/>
          <tpl fld="4" item="6"/>
          <tpl fld="1" item="0"/>
          <tpl hier="68" item="1"/>
        </tpls>
      </n>
      <n v="400" in="0">
        <tpls c="6">
          <tpl hier="15" item="0"/>
          <tpl hier="17" item="4294967295"/>
          <tpl hier="45" item="2"/>
          <tpl fld="4" item="10"/>
          <tpl fld="1" item="1"/>
          <tpl hier="68" item="1"/>
        </tpls>
      </n>
      <n v="584.14634099999989" in="0">
        <tpls c="6">
          <tpl hier="15" item="0"/>
          <tpl hier="17" item="4294967295"/>
          <tpl hier="45" item="2"/>
          <tpl fld="4" item="5"/>
          <tpl fld="1" item="0"/>
          <tpl hier="68" item="1"/>
        </tpls>
      </n>
      <n v="2184.7245879999996" in="0">
        <tpls c="6">
          <tpl hier="15" item="0"/>
          <tpl hier="17" item="4294967295"/>
          <tpl hier="45" item="2"/>
          <tpl fld="4" item="11"/>
          <tpl fld="1" item="0"/>
          <tpl hier="68" item="1"/>
        </tpls>
      </n>
      <n v="642.56097509999995" in="0">
        <tpls c="6">
          <tpl hier="15" item="0"/>
          <tpl hier="17" item="4294967295"/>
          <tpl hier="45" item="2"/>
          <tpl fld="4" item="5"/>
          <tpl fld="1" item="1"/>
          <tpl hier="68" item="1"/>
        </tpls>
      </n>
      <n v="6935.6872629000009" in="0">
        <tpls c="7">
          <tpl fld="3" item="26"/>
          <tpl hier="15" item="0"/>
          <tpl fld="2" item="2"/>
          <tpl hier="45" item="2"/>
          <tpl fld="4" item="1"/>
          <tpl fld="1" item="1"/>
          <tpl hier="68" item="1"/>
        </tpls>
      </n>
      <m in="0">
        <tpls c="7">
          <tpl fld="3" item="26"/>
          <tpl hier="15" item="0"/>
          <tpl fld="2" item="2"/>
          <tpl hier="45" item="2"/>
          <tpl fld="4" item="11"/>
          <tpl fld="1" item="1"/>
          <tpl hier="68" item="1"/>
        </tpls>
      </m>
      <m in="0">
        <tpls c="7">
          <tpl fld="3" item="26"/>
          <tpl hier="15" item="0"/>
          <tpl fld="2" item="2"/>
          <tpl hier="45" item="2"/>
          <tpl fld="4" item="2"/>
          <tpl fld="1" item="1"/>
          <tpl hier="68" item="1"/>
        </tpls>
      </m>
      <m in="0">
        <tpls c="7">
          <tpl fld="3" item="26"/>
          <tpl hier="15" item="0"/>
          <tpl fld="2" item="2"/>
          <tpl hier="45" item="2"/>
          <tpl fld="4" item="7"/>
          <tpl fld="1" item="1"/>
          <tpl hier="68" item="1"/>
        </tpls>
      </m>
      <m in="0">
        <tpls c="7">
          <tpl fld="3" item="26"/>
          <tpl hier="15" item="0"/>
          <tpl fld="2" item="2"/>
          <tpl hier="45" item="2"/>
          <tpl fld="4" item="5"/>
          <tpl fld="1" item="0"/>
          <tpl hier="68" item="1"/>
        </tpls>
      </m>
      <m in="0">
        <tpls c="6">
          <tpl fld="3" item="26"/>
          <tpl hier="15" item="0"/>
          <tpl fld="2" item="2"/>
          <tpl hier="45" item="2"/>
          <tpl fld="1" item="0"/>
          <tpl hier="68" item="1"/>
        </tpls>
      </m>
      <m in="0">
        <tpls c="7">
          <tpl fld="3" item="26"/>
          <tpl hier="15" item="0"/>
          <tpl fld="2" item="2"/>
          <tpl hier="45" item="2"/>
          <tpl fld="4" item="2"/>
          <tpl fld="1" item="0"/>
          <tpl hier="68" item="1"/>
        </tpls>
      </m>
      <m in="0">
        <tpls c="7">
          <tpl fld="3" item="26"/>
          <tpl hier="15" item="0"/>
          <tpl fld="2" item="2"/>
          <tpl hier="45" item="2"/>
          <tpl fld="4" item="5"/>
          <tpl fld="1" item="1"/>
          <tpl hier="68" item="1"/>
        </tpls>
      </m>
      <n v="6935.6872629000009" in="0">
        <tpls c="6">
          <tpl fld="3" item="26"/>
          <tpl hier="15" item="0"/>
          <tpl fld="2" item="2"/>
          <tpl hier="45" item="2"/>
          <tpl fld="1" item="1"/>
          <tpl hier="68" item="1"/>
        </tpls>
      </n>
      <n v="-174.1318876" in="0">
        <tpls c="6">
          <tpl hier="15" item="0"/>
          <tpl fld="2" item="4"/>
          <tpl hier="45" item="2"/>
          <tpl fld="4" item="7"/>
          <tpl fld="1" item="1"/>
          <tpl hier="68" item="1"/>
        </tpls>
      </n>
      <n v="-159.43708599999999" in="0">
        <tpls c="6">
          <tpl hier="15" item="0"/>
          <tpl fld="2" item="4"/>
          <tpl hier="45" item="2"/>
          <tpl fld="4" item="9"/>
          <tpl fld="1" item="0"/>
          <tpl hier="68" item="1"/>
        </tpls>
      </n>
      <n v="-158.301716" in="0">
        <tpls c="6">
          <tpl hier="15" item="0"/>
          <tpl fld="2" item="4"/>
          <tpl hier="45" item="2"/>
          <tpl fld="4" item="7"/>
          <tpl fld="1" item="0"/>
          <tpl hier="68" item="1"/>
        </tpls>
      </n>
      <n v="-179.42073160000001" in="0">
        <tpls c="6">
          <tpl hier="15" item="0"/>
          <tpl fld="2" item="4"/>
          <tpl hier="45" item="2"/>
          <tpl fld="4" item="5"/>
          <tpl fld="1" item="1"/>
          <tpl hier="68" item="1"/>
        </tpls>
      </n>
      <n v="-181.35529" in="0">
        <tpls c="6">
          <tpl hier="15" item="0"/>
          <tpl fld="2" item="4"/>
          <tpl hier="45" item="2"/>
          <tpl fld="4" item="11"/>
          <tpl fld="1" item="0"/>
          <tpl hier="68" item="1"/>
        </tpls>
      </n>
      <n v="-163.109756" in="0">
        <tpls c="6">
          <tpl hier="15" item="0"/>
          <tpl fld="2" item="4"/>
          <tpl hier="45" item="2"/>
          <tpl fld="4" item="5"/>
          <tpl fld="1" item="0"/>
          <tpl hier="68" item="1"/>
        </tpls>
      </n>
      <n v="-166.96186499999999" in="0">
        <tpls c="6">
          <tpl hier="15" item="0"/>
          <tpl fld="2" item="4"/>
          <tpl hier="45" item="2"/>
          <tpl fld="4" item="6"/>
          <tpl fld="1" item="0"/>
          <tpl hier="68" item="1"/>
        </tpls>
      </n>
      <n v="-183.6580515" in="0">
        <tpls c="6">
          <tpl hier="15" item="0"/>
          <tpl fld="2" item="4"/>
          <tpl hier="45" item="2"/>
          <tpl fld="4" item="6"/>
          <tpl fld="1" item="1"/>
          <tpl hier="68" item="1"/>
        </tpls>
      </n>
      <n v="800" in="0">
        <tpls c="6">
          <tpl hier="15" item="0"/>
          <tpl fld="2" item="2"/>
          <tpl hier="45" item="2"/>
          <tpl fld="4" item="9"/>
          <tpl fld="1" item="1"/>
          <tpl hier="68" item="1"/>
        </tpls>
      </n>
      <n v="2000" in="0">
        <tpls c="6">
          <tpl hier="15" item="0"/>
          <tpl fld="2" item="2"/>
          <tpl hier="45" item="2"/>
          <tpl fld="4" item="11"/>
          <tpl fld="1" item="1"/>
          <tpl hier="68" item="1"/>
        </tpls>
      </n>
      <n v="1494.780268" in="0">
        <tpls c="6">
          <tpl hier="15" item="0"/>
          <tpl fld="2" item="2"/>
          <tpl hier="45" item="2"/>
          <tpl fld="4" item="8"/>
          <tpl fld="1" item="0"/>
          <tpl hier="68" item="1"/>
        </tpls>
      </n>
      <n v="747.25609699999995" in="0">
        <tpls c="6">
          <tpl hier="15" item="0"/>
          <tpl fld="2" item="2"/>
          <tpl hier="45" item="2"/>
          <tpl fld="4" item="5"/>
          <tpl fld="1" item="0"/>
          <tpl hier="68" item="1"/>
        </tpls>
      </n>
      <n v="1400" in="0">
        <tpls c="6">
          <tpl hier="15" item="0"/>
          <tpl fld="2" item="2"/>
          <tpl hier="45" item="2"/>
          <tpl fld="4" item="8"/>
          <tpl fld="1" item="1"/>
          <tpl hier="68" item="1"/>
        </tpls>
      </n>
      <n v="821.98170670000002" in="0">
        <tpls c="6">
          <tpl hier="15" item="0"/>
          <tpl fld="2" item="2"/>
          <tpl hier="45" item="2"/>
          <tpl fld="4" item="5"/>
          <tpl fld="1" item="1"/>
          <tpl hier="68" item="1"/>
        </tpls>
      </n>
      <n v="753.06343700000002" in="0">
        <tpls c="6">
          <tpl hier="15" item="0"/>
          <tpl fld="2" item="2"/>
          <tpl hier="45" item="2"/>
          <tpl fld="4" item="6"/>
          <tpl fld="1" item="0"/>
          <tpl hier="68" item="1"/>
        </tpls>
      </n>
      <n v="2366.079878" in="0">
        <tpls c="6">
          <tpl hier="15" item="0"/>
          <tpl fld="2" item="2"/>
          <tpl hier="45" item="2"/>
          <tpl fld="4" item="11"/>
          <tpl fld="1" item="0"/>
          <tpl hier="68" item="1"/>
        </tpls>
      </n>
      <n v="1807.3377895648409" in="0">
        <tpls c="6">
          <tpl hier="15" item="0"/>
          <tpl fld="2" item="2"/>
          <tpl hier="45" item="2"/>
          <tpl fld="4" item="6"/>
          <tpl fld="1" item="1"/>
          <tpl hier="68" item="1"/>
        </tpls>
      </n>
      <m in="0">
        <tpls c="7">
          <tpl fld="3" item="6"/>
          <tpl hier="15" item="0"/>
          <tpl fld="2" item="0"/>
          <tpl hier="45" item="2"/>
          <tpl fld="4" item="5"/>
          <tpl fld="1" item="0"/>
          <tpl hier="68" item="1"/>
        </tpls>
      </m>
      <m in="0">
        <tpls c="7">
          <tpl fld="3" item="21"/>
          <tpl hier="15" item="0"/>
          <tpl fld="2" item="0"/>
          <tpl hier="45" item="2"/>
          <tpl fld="4" item="5"/>
          <tpl fld="1" item="0"/>
          <tpl hier="68" item="1"/>
        </tpls>
      </m>
      <m in="0">
        <tpls c="7">
          <tpl fld="3" item="8"/>
          <tpl hier="15" item="0"/>
          <tpl fld="2" item="3"/>
          <tpl hier="45" item="2"/>
          <tpl fld="4" item="5"/>
          <tpl fld="1" item="0"/>
          <tpl hier="68" item="1"/>
        </tpls>
      </m>
      <m in="0">
        <tpls c="7">
          <tpl fld="3" item="9"/>
          <tpl hier="15" item="0"/>
          <tpl fld="2" item="0"/>
          <tpl hier="45" item="2"/>
          <tpl fld="4" item="5"/>
          <tpl fld="1" item="0"/>
          <tpl hier="68" item="1"/>
        </tpls>
      </m>
      <m in="0">
        <tpls c="7">
          <tpl fld="3" item="20"/>
          <tpl hier="15" item="0"/>
          <tpl fld="2" item="0"/>
          <tpl hier="45" item="2"/>
          <tpl fld="4" item="5"/>
          <tpl fld="1" item="0"/>
          <tpl hier="68" item="1"/>
        </tpls>
      </m>
      <m in="0">
        <tpls c="7">
          <tpl fld="3" item="19"/>
          <tpl hier="15" item="0"/>
          <tpl fld="2" item="0"/>
          <tpl hier="45" item="2"/>
          <tpl fld="4" item="8"/>
          <tpl fld="1" item="0"/>
          <tpl hier="68" item="1"/>
        </tpls>
      </m>
      <m in="0">
        <tpls c="7">
          <tpl fld="3" item="19"/>
          <tpl hier="15" item="0"/>
          <tpl fld="2" item="0"/>
          <tpl hier="45" item="2"/>
          <tpl fld="4" item="8"/>
          <tpl fld="1" item="1"/>
          <tpl hier="68" item="1"/>
        </tpls>
      </m>
      <m in="0">
        <tpls c="7">
          <tpl fld="3" item="19"/>
          <tpl hier="15" item="0"/>
          <tpl fld="2" item="0"/>
          <tpl hier="45" item="2"/>
          <tpl fld="4" item="5"/>
          <tpl fld="1" item="1"/>
          <tpl hier="68" item="1"/>
        </tpls>
      </m>
      <m in="0">
        <tpls c="7">
          <tpl fld="3" item="19"/>
          <tpl hier="15" item="0"/>
          <tpl fld="2" item="0"/>
          <tpl hier="45" item="2"/>
          <tpl fld="4" item="9"/>
          <tpl fld="1" item="0"/>
          <tpl hier="68" item="1"/>
        </tpls>
      </m>
      <m in="0">
        <tpls c="7">
          <tpl fld="3" item="19"/>
          <tpl hier="15" item="0"/>
          <tpl fld="2" item="0"/>
          <tpl hier="45" item="2"/>
          <tpl fld="4" item="11"/>
          <tpl fld="1" item="1"/>
          <tpl hier="68" item="1"/>
        </tpls>
      </m>
      <m in="0">
        <tpls c="7">
          <tpl fld="3" item="19"/>
          <tpl hier="15" item="0"/>
          <tpl fld="2" item="0"/>
          <tpl hier="45" item="2"/>
          <tpl fld="4" item="9"/>
          <tpl fld="1" item="1"/>
          <tpl hier="68" item="1"/>
        </tpls>
      </m>
      <m in="0">
        <tpls c="7">
          <tpl fld="3" item="19"/>
          <tpl hier="15" item="0"/>
          <tpl fld="2" item="0"/>
          <tpl hier="45" item="2"/>
          <tpl fld="4" item="10"/>
          <tpl fld="1" item="0"/>
          <tpl hier="68" item="1"/>
        </tpls>
      </m>
      <m in="0">
        <tpls c="7">
          <tpl fld="3" item="19"/>
          <tpl hier="15" item="0"/>
          <tpl fld="2" item="0"/>
          <tpl hier="45" item="2"/>
          <tpl fld="4" item="10"/>
          <tpl fld="1" item="1"/>
          <tpl hier="68" item="1"/>
        </tpls>
      </m>
      <m in="0">
        <tpls c="7">
          <tpl fld="3" item="0"/>
          <tpl hier="15" item="0"/>
          <tpl fld="2" item="0"/>
          <tpl hier="45" item="2"/>
          <tpl fld="4" item="9"/>
          <tpl fld="1" item="0"/>
          <tpl hier="68" item="1"/>
        </tpls>
      </m>
      <m in="0">
        <tpls c="7">
          <tpl fld="3" item="0"/>
          <tpl hier="15" item="0"/>
          <tpl fld="2" item="0"/>
          <tpl hier="45" item="2"/>
          <tpl fld="4" item="9"/>
          <tpl fld="1" item="1"/>
          <tpl hier="68" item="1"/>
        </tpls>
      </m>
      <m in="0">
        <tpls c="7">
          <tpl fld="3" item="0"/>
          <tpl hier="15" item="0"/>
          <tpl fld="2" item="0"/>
          <tpl hier="45" item="2"/>
          <tpl fld="4" item="10"/>
          <tpl fld="1" item="0"/>
          <tpl hier="68" item="1"/>
        </tpls>
      </m>
      <m in="0">
        <tpls c="7">
          <tpl fld="3" item="0"/>
          <tpl hier="15" item="0"/>
          <tpl fld="2" item="0"/>
          <tpl hier="45" item="2"/>
          <tpl fld="4" item="10"/>
          <tpl fld="1" item="1"/>
          <tpl hier="68" item="1"/>
        </tpls>
      </m>
      <m in="0">
        <tpls c="7">
          <tpl fld="3" item="0"/>
          <tpl hier="15" item="0"/>
          <tpl fld="2" item="0"/>
          <tpl hier="45" item="2"/>
          <tpl fld="4" item="5"/>
          <tpl fld="1" item="1"/>
          <tpl hier="68" item="1"/>
        </tpls>
      </m>
      <m in="0">
        <tpls c="7">
          <tpl fld="3" item="0"/>
          <tpl hier="15" item="0"/>
          <tpl fld="2" item="0"/>
          <tpl hier="45" item="2"/>
          <tpl fld="4" item="6"/>
          <tpl fld="1" item="0"/>
          <tpl hier="68" item="1"/>
        </tpls>
      </m>
      <m in="0">
        <tpls c="7">
          <tpl fld="3" item="0"/>
          <tpl hier="15" item="0"/>
          <tpl fld="2" item="0"/>
          <tpl hier="45" item="2"/>
          <tpl fld="4" item="11"/>
          <tpl fld="1" item="0"/>
          <tpl hier="68" item="1"/>
        </tpls>
      </m>
      <m in="0">
        <tpls c="7">
          <tpl fld="3" item="0"/>
          <tpl hier="15" item="0"/>
          <tpl fld="2" item="0"/>
          <tpl hier="45" item="2"/>
          <tpl fld="4" item="11"/>
          <tpl fld="1" item="1"/>
          <tpl hier="68" item="1"/>
        </tpls>
      </m>
      <m in="0">
        <tpls c="6">
          <tpl hier="15" item="0"/>
          <tpl fld="2" item="0"/>
          <tpl hier="45" item="2"/>
          <tpl fld="4" item="5"/>
          <tpl fld="1" item="0"/>
          <tpl hier="68" item="1"/>
        </tpls>
      </m>
      <m in="0">
        <tpls c="6">
          <tpl hier="15" item="0"/>
          <tpl fld="2" item="0"/>
          <tpl hier="45" item="2"/>
          <tpl fld="4" item="10"/>
          <tpl fld="1" item="0"/>
          <tpl hier="68" item="1"/>
        </tpls>
      </m>
      <m in="0">
        <tpls c="6">
          <tpl hier="15" item="0"/>
          <tpl fld="2" item="0"/>
          <tpl hier="45" item="2"/>
          <tpl fld="4" item="10"/>
          <tpl fld="1" item="1"/>
          <tpl hier="68" item="1"/>
        </tpls>
      </m>
      <m in="0">
        <tpls c="6">
          <tpl hier="15" item="0"/>
          <tpl fld="2" item="0"/>
          <tpl hier="45" item="2"/>
          <tpl fld="4" item="7"/>
          <tpl fld="1" item="0"/>
          <tpl hier="68" item="1"/>
        </tpls>
      </m>
      <m in="0">
        <tpls c="6">
          <tpl hier="15" item="0"/>
          <tpl fld="2" item="0"/>
          <tpl hier="45" item="2"/>
          <tpl fld="4" item="7"/>
          <tpl fld="1" item="1"/>
          <tpl hier="68" item="1"/>
        </tpls>
      </m>
      <m in="0">
        <tpls c="6">
          <tpl hier="15" item="0"/>
          <tpl fld="2" item="0"/>
          <tpl hier="45" item="2"/>
          <tpl fld="4" item="11"/>
          <tpl fld="1" item="1"/>
          <tpl hier="68" item="1"/>
        </tpls>
      </m>
      <m in="0">
        <tpls c="6">
          <tpl hier="15" item="0"/>
          <tpl fld="2" item="0"/>
          <tpl hier="45" item="2"/>
          <tpl fld="4" item="6"/>
          <tpl fld="1" item="0"/>
          <tpl hier="68" item="1"/>
        </tpls>
      </m>
      <m in="0">
        <tpls c="6">
          <tpl hier="15" item="0"/>
          <tpl fld="2" item="0"/>
          <tpl hier="45" item="2"/>
          <tpl fld="4" item="11"/>
          <tpl fld="1" item="0"/>
          <tpl hier="68" item="1"/>
        </tpls>
      </m>
      <m in="0">
        <tpls c="7">
          <tpl fld="3" item="1"/>
          <tpl hier="15" item="0"/>
          <tpl fld="2" item="0"/>
          <tpl hier="45" item="2"/>
          <tpl fld="4" item="5"/>
          <tpl fld="1" item="0"/>
          <tpl hier="68" item="1"/>
        </tpls>
      </m>
      <m in="0">
        <tpls c="7">
          <tpl fld="3" item="1"/>
          <tpl hier="15" item="0"/>
          <tpl fld="2" item="0"/>
          <tpl hier="45" item="2"/>
          <tpl fld="4" item="5"/>
          <tpl fld="1" item="1"/>
          <tpl hier="68" item="1"/>
        </tpls>
      </m>
      <m in="0">
        <tpls c="7">
          <tpl fld="3" item="1"/>
          <tpl hier="15" item="0"/>
          <tpl fld="2" item="0"/>
          <tpl hier="45" item="2"/>
          <tpl fld="4" item="8"/>
          <tpl fld="1" item="1"/>
          <tpl hier="68" item="1"/>
        </tpls>
      </m>
      <m in="0">
        <tpls c="7">
          <tpl fld="3" item="1"/>
          <tpl hier="15" item="0"/>
          <tpl fld="2" item="0"/>
          <tpl hier="45" item="2"/>
          <tpl fld="4" item="9"/>
          <tpl fld="1" item="1"/>
          <tpl hier="68" item="1"/>
        </tpls>
      </m>
      <m in="0">
        <tpls c="7">
          <tpl fld="3" item="1"/>
          <tpl hier="15" item="0"/>
          <tpl fld="2" item="0"/>
          <tpl hier="45" item="2"/>
          <tpl fld="4" item="6"/>
          <tpl fld="1" item="0"/>
          <tpl hier="68" item="1"/>
        </tpls>
      </m>
      <m in="0">
        <tpls c="7">
          <tpl fld="3" item="1"/>
          <tpl hier="15" item="0"/>
          <tpl fld="2" item="0"/>
          <tpl hier="45" item="2"/>
          <tpl fld="4" item="6"/>
          <tpl fld="1" item="1"/>
          <tpl hier="68" item="1"/>
        </tpls>
      </m>
      <m in="0">
        <tpls c="7">
          <tpl fld="3" item="1"/>
          <tpl hier="15" item="0"/>
          <tpl fld="2" item="0"/>
          <tpl hier="45" item="2"/>
          <tpl fld="4" item="9"/>
          <tpl fld="1" item="0"/>
          <tpl hier="68" item="1"/>
        </tpls>
      </m>
      <m in="0">
        <tpls c="7">
          <tpl fld="3" item="1"/>
          <tpl hier="15" item="0"/>
          <tpl fld="2" item="0"/>
          <tpl hier="45" item="2"/>
          <tpl fld="4" item="10"/>
          <tpl fld="1" item="1"/>
          <tpl hier="68" item="1"/>
        </tpls>
      </m>
      <m in="0">
        <tpls c="7">
          <tpl fld="3" item="1"/>
          <tpl hier="15" item="0"/>
          <tpl fld="2" item="0"/>
          <tpl hier="45" item="2"/>
          <tpl fld="4" item="7"/>
          <tpl fld="1" item="0"/>
          <tpl hier="68" item="1"/>
        </tpls>
      </m>
      <m in="0">
        <tpls c="7">
          <tpl fld="3" item="1"/>
          <tpl hier="15" item="0"/>
          <tpl fld="2" item="0"/>
          <tpl hier="45" item="2"/>
          <tpl fld="4" item="7"/>
          <tpl fld="1" item="1"/>
          <tpl hier="68" item="1"/>
        </tpls>
      </m>
      <m in="0">
        <tpls c="7">
          <tpl fld="3" item="18"/>
          <tpl hier="15" item="0"/>
          <tpl fld="2" item="0"/>
          <tpl hier="45" item="2"/>
          <tpl fld="4" item="11"/>
          <tpl fld="1" item="1"/>
          <tpl hier="68" item="1"/>
        </tpls>
      </m>
      <m in="0">
        <tpls c="7">
          <tpl fld="3" item="18"/>
          <tpl hier="15" item="0"/>
          <tpl fld="2" item="0"/>
          <tpl hier="45" item="2"/>
          <tpl fld="4" item="8"/>
          <tpl fld="1" item="1"/>
          <tpl hier="68" item="1"/>
        </tpls>
      </m>
      <m in="0">
        <tpls c="7">
          <tpl fld="3" item="18"/>
          <tpl hier="15" item="0"/>
          <tpl fld="2" item="0"/>
          <tpl hier="45" item="2"/>
          <tpl fld="4" item="5"/>
          <tpl fld="1" item="0"/>
          <tpl hier="68" item="1"/>
        </tpls>
      </m>
      <m in="0">
        <tpls c="7">
          <tpl fld="3" item="18"/>
          <tpl hier="15" item="0"/>
          <tpl fld="2" item="0"/>
          <tpl hier="45" item="2"/>
          <tpl fld="4" item="5"/>
          <tpl fld="1" item="1"/>
          <tpl hier="68" item="1"/>
        </tpls>
      </m>
      <m in="0">
        <tpls c="7">
          <tpl fld="3" item="18"/>
          <tpl hier="15" item="0"/>
          <tpl fld="2" item="0"/>
          <tpl hier="45" item="2"/>
          <tpl fld="4" item="8"/>
          <tpl fld="1" item="0"/>
          <tpl hier="68" item="1"/>
        </tpls>
      </m>
      <m in="0">
        <tpls c="7">
          <tpl fld="3" item="18"/>
          <tpl hier="15" item="0"/>
          <tpl fld="2" item="0"/>
          <tpl hier="45" item="2"/>
          <tpl fld="4" item="6"/>
          <tpl fld="1" item="0"/>
          <tpl hier="68" item="1"/>
        </tpls>
      </m>
      <m in="0">
        <tpls c="7">
          <tpl fld="3" item="18"/>
          <tpl hier="15" item="0"/>
          <tpl fld="2" item="0"/>
          <tpl hier="45" item="2"/>
          <tpl fld="4" item="6"/>
          <tpl fld="1" item="1"/>
          <tpl hier="68" item="1"/>
        </tpls>
      </m>
      <m in="0">
        <tpls c="7">
          <tpl fld="3" item="15"/>
          <tpl hier="15" item="0"/>
          <tpl fld="2" item="0"/>
          <tpl hier="45" item="2"/>
          <tpl fld="4" item="5"/>
          <tpl fld="1" item="0"/>
          <tpl hier="68" item="1"/>
        </tpls>
      </m>
      <m in="0">
        <tpls c="7">
          <tpl fld="3" item="15"/>
          <tpl hier="15" item="0"/>
          <tpl fld="2" item="0"/>
          <tpl hier="45" item="2"/>
          <tpl fld="4" item="5"/>
          <tpl fld="1" item="1"/>
          <tpl hier="68" item="1"/>
        </tpls>
      </m>
      <m in="0">
        <tpls c="7">
          <tpl fld="3" item="15"/>
          <tpl hier="15" item="0"/>
          <tpl fld="2" item="0"/>
          <tpl hier="45" item="2"/>
          <tpl fld="4" item="9"/>
          <tpl fld="1" item="1"/>
          <tpl hier="68" item="1"/>
        </tpls>
      </m>
      <m in="0">
        <tpls c="7">
          <tpl fld="3" item="15"/>
          <tpl hier="15" item="0"/>
          <tpl fld="2" item="0"/>
          <tpl hier="45" item="2"/>
          <tpl fld="4" item="6"/>
          <tpl fld="1" item="0"/>
          <tpl hier="68" item="1"/>
        </tpls>
      </m>
      <m in="0">
        <tpls c="7">
          <tpl fld="3" item="15"/>
          <tpl hier="15" item="0"/>
          <tpl fld="2" item="0"/>
          <tpl hier="45" item="2"/>
          <tpl fld="4" item="9"/>
          <tpl fld="1" item="0"/>
          <tpl hier="68" item="1"/>
        </tpls>
      </m>
      <m in="0">
        <tpls c="7">
          <tpl fld="3" item="15"/>
          <tpl hier="15" item="0"/>
          <tpl fld="2" item="0"/>
          <tpl hier="45" item="2"/>
          <tpl fld="4" item="6"/>
          <tpl fld="1" item="1"/>
          <tpl hier="68" item="1"/>
        </tpls>
      </m>
      <m in="0">
        <tpls c="7">
          <tpl fld="3" item="15"/>
          <tpl hier="15" item="0"/>
          <tpl fld="2" item="0"/>
          <tpl hier="45" item="2"/>
          <tpl fld="4" item="7"/>
          <tpl fld="1" item="0"/>
          <tpl hier="68" item="1"/>
        </tpls>
      </m>
      <m in="0">
        <tpls c="7">
          <tpl fld="3" item="15"/>
          <tpl hier="15" item="0"/>
          <tpl fld="2" item="0"/>
          <tpl hier="45" item="2"/>
          <tpl fld="4" item="11"/>
          <tpl fld="1" item="0"/>
          <tpl hier="68" item="1"/>
        </tpls>
      </m>
      <m in="0">
        <tpls c="7">
          <tpl fld="3" item="15"/>
          <tpl hier="15" item="0"/>
          <tpl fld="2" item="0"/>
          <tpl hier="45" item="2"/>
          <tpl fld="4" item="7"/>
          <tpl fld="1" item="1"/>
          <tpl hier="68" item="1"/>
        </tpls>
      </m>
      <m in="0">
        <tpls c="7">
          <tpl fld="3" item="15"/>
          <tpl hier="15" item="0"/>
          <tpl fld="2" item="0"/>
          <tpl hier="45" item="2"/>
          <tpl fld="4" item="8"/>
          <tpl fld="1" item="0"/>
          <tpl hier="68" item="1"/>
        </tpls>
      </m>
      <m in="0">
        <tpls c="7">
          <tpl fld="3" item="15"/>
          <tpl hier="15" item="0"/>
          <tpl fld="2" item="0"/>
          <tpl hier="45" item="2"/>
          <tpl fld="4" item="8"/>
          <tpl fld="1" item="1"/>
          <tpl hier="68" item="1"/>
        </tpls>
      </m>
      <m in="0">
        <tpls c="7">
          <tpl fld="3" item="16"/>
          <tpl hier="15" item="0"/>
          <tpl fld="2" item="0"/>
          <tpl hier="45" item="2"/>
          <tpl fld="4" item="9"/>
          <tpl fld="1" item="0"/>
          <tpl hier="68" item="1"/>
        </tpls>
      </m>
      <m in="0">
        <tpls c="7">
          <tpl fld="3" item="16"/>
          <tpl hier="15" item="0"/>
          <tpl fld="2" item="0"/>
          <tpl hier="45" item="2"/>
          <tpl fld="4" item="10"/>
          <tpl fld="1" item="0"/>
          <tpl hier="68" item="1"/>
        </tpls>
      </m>
      <m in="0">
        <tpls c="7">
          <tpl fld="3" item="16"/>
          <tpl hier="15" item="0"/>
          <tpl fld="2" item="0"/>
          <tpl hier="45" item="2"/>
          <tpl fld="4" item="6"/>
          <tpl fld="1" item="0"/>
          <tpl hier="68" item="1"/>
        </tpls>
      </m>
      <m in="0">
        <tpls c="7">
          <tpl fld="3" item="16"/>
          <tpl hier="15" item="0"/>
          <tpl fld="2" item="0"/>
          <tpl hier="45" item="2"/>
          <tpl fld="4" item="6"/>
          <tpl fld="1" item="1"/>
          <tpl hier="68" item="1"/>
        </tpls>
      </m>
      <m in="0">
        <tpls c="7">
          <tpl fld="3" item="16"/>
          <tpl hier="15" item="0"/>
          <tpl fld="2" item="0"/>
          <tpl hier="45" item="2"/>
          <tpl fld="4" item="10"/>
          <tpl fld="1" item="1"/>
          <tpl hier="68" item="1"/>
        </tpls>
      </m>
      <m in="0">
        <tpls c="7">
          <tpl fld="3" item="16"/>
          <tpl hier="15" item="0"/>
          <tpl fld="2" item="0"/>
          <tpl hier="45" item="2"/>
          <tpl fld="4" item="11"/>
          <tpl fld="1" item="0"/>
          <tpl hier="68" item="1"/>
        </tpls>
      </m>
      <m in="0">
        <tpls c="7">
          <tpl fld="3" item="16"/>
          <tpl hier="15" item="0"/>
          <tpl fld="2" item="0"/>
          <tpl hier="45" item="2"/>
          <tpl fld="4" item="11"/>
          <tpl fld="1" item="1"/>
          <tpl hier="68" item="1"/>
        </tpls>
      </m>
      <m in="0">
        <tpls c="7">
          <tpl fld="3" item="16"/>
          <tpl hier="15" item="0"/>
          <tpl fld="2" item="0"/>
          <tpl hier="45" item="2"/>
          <tpl fld="4" item="8"/>
          <tpl fld="1" item="0"/>
          <tpl hier="68" item="1"/>
        </tpls>
      </m>
      <m in="0">
        <tpls c="7">
          <tpl fld="3" item="16"/>
          <tpl hier="15" item="0"/>
          <tpl fld="2" item="0"/>
          <tpl hier="45" item="2"/>
          <tpl fld="4" item="7"/>
          <tpl fld="1" item="0"/>
          <tpl hier="68" item="1"/>
        </tpls>
      </m>
      <m in="0">
        <tpls c="7">
          <tpl fld="3" item="16"/>
          <tpl hier="15" item="0"/>
          <tpl fld="2" item="0"/>
          <tpl hier="45" item="2"/>
          <tpl fld="4" item="8"/>
          <tpl fld="1" item="1"/>
          <tpl hier="68" item="1"/>
        </tpls>
      </m>
      <m in="0">
        <tpls c="7">
          <tpl fld="3" item="7"/>
          <tpl hier="15" item="0"/>
          <tpl fld="2" item="0"/>
          <tpl hier="45" item="2"/>
          <tpl fld="4" item="8"/>
          <tpl fld="1" item="1"/>
          <tpl hier="68" item="1"/>
        </tpls>
      </m>
      <m in="0">
        <tpls c="7">
          <tpl fld="3" item="7"/>
          <tpl hier="15" item="0"/>
          <tpl fld="2" item="0"/>
          <tpl hier="45" item="2"/>
          <tpl fld="4" item="10"/>
          <tpl fld="1" item="0"/>
          <tpl hier="68" item="1"/>
        </tpls>
      </m>
      <m in="0">
        <tpls c="7">
          <tpl fld="3" item="7"/>
          <tpl hier="15" item="0"/>
          <tpl fld="2" item="0"/>
          <tpl hier="45" item="2"/>
          <tpl fld="4" item="8"/>
          <tpl fld="1" item="0"/>
          <tpl hier="68" item="1"/>
        </tpls>
      </m>
      <m in="0">
        <tpls c="7">
          <tpl fld="3" item="7"/>
          <tpl hier="15" item="0"/>
          <tpl fld="2" item="0"/>
          <tpl hier="45" item="2"/>
          <tpl fld="4" item="5"/>
          <tpl fld="1" item="0"/>
          <tpl hier="68" item="1"/>
        </tpls>
      </m>
      <m in="0">
        <tpls c="7">
          <tpl fld="3" item="7"/>
          <tpl hier="15" item="0"/>
          <tpl fld="2" item="0"/>
          <tpl hier="45" item="2"/>
          <tpl fld="4" item="10"/>
          <tpl fld="1" item="1"/>
          <tpl hier="68" item="1"/>
        </tpls>
      </m>
      <m in="0">
        <tpls c="7">
          <tpl fld="3" item="7"/>
          <tpl hier="15" item="0"/>
          <tpl fld="2" item="0"/>
          <tpl hier="45" item="2"/>
          <tpl fld="4" item="5"/>
          <tpl fld="1" item="1"/>
          <tpl hier="68" item="1"/>
        </tpls>
      </m>
      <m in="0">
        <tpls c="7">
          <tpl fld="3" item="7"/>
          <tpl hier="15" item="0"/>
          <tpl fld="2" item="0"/>
          <tpl hier="45" item="2"/>
          <tpl fld="4" item="9"/>
          <tpl fld="1" item="1"/>
          <tpl hier="68" item="1"/>
        </tpls>
      </m>
      <m in="0">
        <tpls c="7">
          <tpl fld="3" item="7"/>
          <tpl hier="15" item="0"/>
          <tpl fld="2" item="0"/>
          <tpl hier="45" item="2"/>
          <tpl fld="4" item="6"/>
          <tpl fld="1" item="0"/>
          <tpl hier="68" item="1"/>
        </tpls>
      </m>
      <m in="0">
        <tpls c="7">
          <tpl fld="3" item="7"/>
          <tpl hier="15" item="0"/>
          <tpl fld="2" item="0"/>
          <tpl hier="45" item="2"/>
          <tpl fld="4" item="6"/>
          <tpl fld="1" item="1"/>
          <tpl hier="68" item="1"/>
        </tpls>
      </m>
      <m in="0">
        <tpls c="7">
          <tpl fld="3" item="7"/>
          <tpl hier="15" item="0"/>
          <tpl fld="2" item="0"/>
          <tpl hier="45" item="2"/>
          <tpl fld="4" item="7"/>
          <tpl fld="1" item="0"/>
          <tpl hier="68" item="1"/>
        </tpls>
      </m>
      <m in="0">
        <tpls c="7">
          <tpl fld="3" item="7"/>
          <tpl hier="15" item="0"/>
          <tpl fld="2" item="0"/>
          <tpl hier="45" item="2"/>
          <tpl fld="4" item="7"/>
          <tpl fld="1" item="1"/>
          <tpl hier="68" item="1"/>
        </tpls>
      </m>
      <m in="0">
        <tpls c="7">
          <tpl fld="3" item="23"/>
          <tpl hier="15" item="0"/>
          <tpl fld="2" item="0"/>
          <tpl hier="45" item="2"/>
          <tpl fld="4" item="5"/>
          <tpl fld="1" item="1"/>
          <tpl hier="68" item="1"/>
        </tpls>
      </m>
      <m in="0">
        <tpls c="7">
          <tpl fld="3" item="23"/>
          <tpl hier="15" item="0"/>
          <tpl fld="2" item="0"/>
          <tpl hier="45" item="2"/>
          <tpl fld="4" item="6"/>
          <tpl fld="1" item="0"/>
          <tpl hier="68" item="1"/>
        </tpls>
      </m>
      <m in="0">
        <tpls c="7">
          <tpl fld="3" item="23"/>
          <tpl hier="15" item="0"/>
          <tpl fld="2" item="0"/>
          <tpl hier="45" item="2"/>
          <tpl fld="4" item="10"/>
          <tpl fld="1" item="1"/>
          <tpl hier="68" item="1"/>
        </tpls>
      </m>
      <m in="0">
        <tpls c="7">
          <tpl fld="3" item="23"/>
          <tpl hier="15" item="0"/>
          <tpl fld="2" item="0"/>
          <tpl hier="45" item="2"/>
          <tpl fld="4" item="11"/>
          <tpl fld="1" item="1"/>
          <tpl hier="68" item="1"/>
        </tpls>
      </m>
      <m in="0">
        <tpls c="7">
          <tpl fld="3" item="23"/>
          <tpl hier="15" item="0"/>
          <tpl fld="2" item="0"/>
          <tpl hier="45" item="2"/>
          <tpl fld="4" item="6"/>
          <tpl fld="1" item="1"/>
          <tpl hier="68" item="1"/>
        </tpls>
      </m>
      <m in="0">
        <tpls c="7">
          <tpl fld="3" item="23"/>
          <tpl hier="15" item="0"/>
          <tpl fld="2" item="0"/>
          <tpl hier="45" item="2"/>
          <tpl fld="4" item="5"/>
          <tpl fld="1" item="0"/>
          <tpl hier="68" item="1"/>
        </tpls>
      </m>
      <m in="0">
        <tpls c="7">
          <tpl fld="3" item="23"/>
          <tpl hier="15" item="0"/>
          <tpl fld="2" item="0"/>
          <tpl hier="45" item="2"/>
          <tpl fld="4" item="7"/>
          <tpl fld="1" item="0"/>
          <tpl hier="68" item="1"/>
        </tpls>
      </m>
      <m in="0">
        <tpls c="7">
          <tpl fld="3" item="23"/>
          <tpl hier="15" item="0"/>
          <tpl fld="2" item="0"/>
          <tpl hier="45" item="2"/>
          <tpl fld="4" item="7"/>
          <tpl fld="1" item="1"/>
          <tpl hier="68" item="1"/>
        </tpls>
      </m>
      <m in="0">
        <tpls c="7">
          <tpl fld="3" item="23"/>
          <tpl hier="15" item="0"/>
          <tpl fld="2" item="0"/>
          <tpl hier="45" item="2"/>
          <tpl fld="4" item="8"/>
          <tpl fld="1" item="0"/>
          <tpl hier="68" item="1"/>
        </tpls>
      </m>
      <m in="0">
        <tpls c="7">
          <tpl fld="3" item="23"/>
          <tpl hier="15" item="0"/>
          <tpl fld="2" item="0"/>
          <tpl hier="45" item="2"/>
          <tpl fld="4" item="8"/>
          <tpl fld="1" item="1"/>
          <tpl hier="68" item="1"/>
        </tpls>
      </m>
      <m in="0">
        <tpls c="7">
          <tpl fld="3" item="23"/>
          <tpl hier="15" item="0"/>
          <tpl fld="2" item="0"/>
          <tpl hier="45" item="2"/>
          <tpl fld="4" item="9"/>
          <tpl fld="1" item="0"/>
          <tpl hier="68" item="1"/>
        </tpls>
      </m>
      <m in="0">
        <tpls c="7">
          <tpl fld="3" item="23"/>
          <tpl hier="15" item="0"/>
          <tpl fld="2" item="0"/>
          <tpl hier="45" item="2"/>
          <tpl fld="4" item="9"/>
          <tpl fld="1" item="1"/>
          <tpl hier="68" item="1"/>
        </tpls>
      </m>
      <m in="0">
        <tpls c="7">
          <tpl fld="3" item="12"/>
          <tpl hier="15" item="0"/>
          <tpl fld="2" item="0"/>
          <tpl hier="45" item="2"/>
          <tpl fld="4" item="10"/>
          <tpl fld="1" item="1"/>
          <tpl hier="68" item="1"/>
        </tpls>
      </m>
      <m in="0">
        <tpls c="7">
          <tpl fld="3" item="12"/>
          <tpl hier="15" item="0"/>
          <tpl fld="2" item="0"/>
          <tpl hier="45" item="2"/>
          <tpl fld="4" item="8"/>
          <tpl fld="1" item="1"/>
          <tpl hier="68" item="1"/>
        </tpls>
      </m>
      <m in="0">
        <tpls c="7">
          <tpl fld="3" item="12"/>
          <tpl hier="15" item="0"/>
          <tpl fld="2" item="0"/>
          <tpl hier="45" item="2"/>
          <tpl fld="4" item="9"/>
          <tpl fld="1" item="0"/>
          <tpl hier="68" item="1"/>
        </tpls>
      </m>
      <m in="0">
        <tpls c="7">
          <tpl fld="3" item="12"/>
          <tpl hier="15" item="0"/>
          <tpl fld="2" item="0"/>
          <tpl hier="45" item="2"/>
          <tpl fld="4" item="11"/>
          <tpl fld="1" item="0"/>
          <tpl hier="68" item="1"/>
        </tpls>
      </m>
      <m in="0">
        <tpls c="7">
          <tpl fld="3" item="12"/>
          <tpl hier="15" item="0"/>
          <tpl fld="2" item="0"/>
          <tpl hier="45" item="2"/>
          <tpl fld="4" item="5"/>
          <tpl fld="1" item="0"/>
          <tpl hier="68" item="1"/>
        </tpls>
      </m>
      <m in="0">
        <tpls c="7">
          <tpl fld="3" item="12"/>
          <tpl hier="15" item="0"/>
          <tpl fld="2" item="0"/>
          <tpl hier="45" item="2"/>
          <tpl fld="4" item="7"/>
          <tpl fld="1" item="0"/>
          <tpl hier="68" item="1"/>
        </tpls>
      </m>
      <m in="0">
        <tpls c="7">
          <tpl fld="3" item="12"/>
          <tpl hier="15" item="0"/>
          <tpl fld="2" item="0"/>
          <tpl hier="45" item="2"/>
          <tpl fld="4" item="11"/>
          <tpl fld="1" item="1"/>
          <tpl hier="68" item="1"/>
        </tpls>
      </m>
      <m in="0">
        <tpls c="7">
          <tpl fld="3" item="12"/>
          <tpl hier="15" item="0"/>
          <tpl fld="2" item="0"/>
          <tpl hier="45" item="2"/>
          <tpl fld="4" item="10"/>
          <tpl fld="1" item="0"/>
          <tpl hier="68" item="1"/>
        </tpls>
      </m>
      <m in="0">
        <tpls c="7">
          <tpl fld="3" item="12"/>
          <tpl hier="15" item="0"/>
          <tpl fld="2" item="0"/>
          <tpl hier="45" item="2"/>
          <tpl fld="4" item="5"/>
          <tpl fld="1" item="1"/>
          <tpl hier="68" item="1"/>
        </tpls>
      </m>
      <m in="0">
        <tpls c="7">
          <tpl fld="3" item="12"/>
          <tpl hier="15" item="0"/>
          <tpl fld="2" item="0"/>
          <tpl hier="45" item="2"/>
          <tpl fld="4" item="7"/>
          <tpl fld="1" item="1"/>
          <tpl hier="68" item="1"/>
        </tpls>
      </m>
      <m in="0">
        <tpls c="7">
          <tpl fld="3" item="12"/>
          <tpl hier="15" item="0"/>
          <tpl fld="2" item="0"/>
          <tpl hier="45" item="2"/>
          <tpl fld="4" item="9"/>
          <tpl fld="1" item="1"/>
          <tpl hier="68" item="1"/>
        </tpls>
      </m>
      <m in="0">
        <tpls c="7">
          <tpl fld="3" item="13"/>
          <tpl hier="15" item="0"/>
          <tpl fld="2" item="0"/>
          <tpl hier="45" item="2"/>
          <tpl fld="4" item="10"/>
          <tpl fld="1" item="1"/>
          <tpl hier="68" item="1"/>
        </tpls>
      </m>
      <m in="0">
        <tpls c="7">
          <tpl fld="3" item="13"/>
          <tpl hier="15" item="0"/>
          <tpl fld="2" item="0"/>
          <tpl hier="45" item="2"/>
          <tpl fld="4" item="6"/>
          <tpl fld="1" item="1"/>
          <tpl hier="68" item="1"/>
        </tpls>
      </m>
      <m in="0">
        <tpls c="7">
          <tpl fld="3" item="13"/>
          <tpl hier="15" item="0"/>
          <tpl fld="2" item="0"/>
          <tpl hier="45" item="2"/>
          <tpl fld="4" item="9"/>
          <tpl fld="1" item="1"/>
          <tpl hier="68" item="1"/>
        </tpls>
      </m>
      <m in="0">
        <tpls c="7">
          <tpl fld="3" item="13"/>
          <tpl hier="15" item="0"/>
          <tpl fld="2" item="0"/>
          <tpl hier="45" item="2"/>
          <tpl fld="4" item="5"/>
          <tpl fld="1" item="0"/>
          <tpl hier="68" item="1"/>
        </tpls>
      </m>
      <m in="0">
        <tpls c="7">
          <tpl fld="3" item="13"/>
          <tpl hier="15" item="0"/>
          <tpl fld="2" item="0"/>
          <tpl hier="45" item="2"/>
          <tpl fld="4" item="11"/>
          <tpl fld="1" item="1"/>
          <tpl hier="68" item="1"/>
        </tpls>
      </m>
      <m in="0">
        <tpls c="7">
          <tpl fld="3" item="13"/>
          <tpl hier="15" item="0"/>
          <tpl fld="2" item="0"/>
          <tpl hier="45" item="2"/>
          <tpl fld="4" item="9"/>
          <tpl fld="1" item="0"/>
          <tpl hier="68" item="1"/>
        </tpls>
      </m>
      <m in="0">
        <tpls c="7">
          <tpl fld="3" item="13"/>
          <tpl hier="15" item="0"/>
          <tpl fld="2" item="0"/>
          <tpl hier="45" item="2"/>
          <tpl fld="4" item="11"/>
          <tpl fld="1" item="0"/>
          <tpl hier="68" item="1"/>
        </tpls>
      </m>
      <m in="0">
        <tpls c="7">
          <tpl fld="3" item="13"/>
          <tpl hier="15" item="0"/>
          <tpl fld="2" item="0"/>
          <tpl hier="45" item="2"/>
          <tpl fld="4" item="5"/>
          <tpl fld="1" item="1"/>
          <tpl hier="68" item="1"/>
        </tpls>
      </m>
      <m in="0">
        <tpls c="7">
          <tpl fld="3" item="13"/>
          <tpl hier="15" item="0"/>
          <tpl fld="2" item="0"/>
          <tpl hier="45" item="2"/>
          <tpl fld="4" item="7"/>
          <tpl fld="1" item="1"/>
          <tpl hier="68" item="1"/>
        </tpls>
      </m>
      <m in="0">
        <tpls c="7">
          <tpl fld="3" item="8"/>
          <tpl hier="15" item="0"/>
          <tpl fld="2" item="3"/>
          <tpl hier="45" item="2"/>
          <tpl fld="4" item="10"/>
          <tpl fld="1" item="1"/>
          <tpl hier="68" item="1"/>
        </tpls>
      </m>
      <m in="0">
        <tpls c="6">
          <tpl hier="15" item="0"/>
          <tpl fld="2" item="3"/>
          <tpl hier="45" item="2"/>
          <tpl fld="4" item="10"/>
          <tpl fld="1" item="1"/>
          <tpl hier="68" item="1"/>
        </tpls>
      </m>
      <m in="0">
        <tpls c="7">
          <tpl fld="3" item="25"/>
          <tpl hier="15" item="0"/>
          <tpl fld="2" item="3"/>
          <tpl hier="45" item="2"/>
          <tpl fld="4" item="10"/>
          <tpl fld="1" item="1"/>
          <tpl hier="68" item="1"/>
        </tpls>
      </m>
      <m in="0">
        <tpls c="7">
          <tpl fld="3" item="9"/>
          <tpl hier="15" item="0"/>
          <tpl fld="2" item="0"/>
          <tpl hier="45" item="2"/>
          <tpl fld="4" item="10"/>
          <tpl fld="1" item="1"/>
          <tpl hier="68" item="1"/>
        </tpls>
      </m>
      <m in="0">
        <tpls c="7">
          <tpl fld="3" item="21"/>
          <tpl hier="15" item="0"/>
          <tpl fld="2" item="0"/>
          <tpl hier="45" item="2"/>
          <tpl fld="4" item="10"/>
          <tpl fld="1" item="1"/>
          <tpl hier="68" item="1"/>
        </tpls>
      </m>
      <m in="0">
        <tpls c="7">
          <tpl fld="3" item="3"/>
          <tpl hier="15" item="0"/>
          <tpl fld="2" item="0"/>
          <tpl hier="45" item="2"/>
          <tpl fld="4" item="10"/>
          <tpl fld="1" item="1"/>
          <tpl hier="68" item="1"/>
        </tpls>
      </m>
      <n v="600" in="0">
        <tpls c="7">
          <tpl fld="3" item="5"/>
          <tpl hier="15" item="0"/>
          <tpl fld="2" item="2"/>
          <tpl hier="45" item="2"/>
          <tpl fld="4" item="10"/>
          <tpl fld="1" item="1"/>
          <tpl hier="68" item="1"/>
        </tpls>
      </n>
      <m in="0">
        <tpls c="7">
          <tpl fld="3" item="24"/>
          <tpl hier="15" item="0"/>
          <tpl fld="2" item="0"/>
          <tpl hier="45" item="2"/>
          <tpl fld="4" item="9"/>
          <tpl fld="1" item="1"/>
          <tpl hier="68" item="1"/>
        </tpls>
      </m>
      <m in="0">
        <tpls c="7">
          <tpl fld="3" item="24"/>
          <tpl hier="15" item="0"/>
          <tpl fld="2" item="0"/>
          <tpl hier="45" item="2"/>
          <tpl fld="4" item="6"/>
          <tpl fld="1" item="0"/>
          <tpl hier="68" item="1"/>
        </tpls>
      </m>
      <m in="0">
        <tpls c="7">
          <tpl fld="3" item="24"/>
          <tpl hier="15" item="0"/>
          <tpl fld="2" item="0"/>
          <tpl hier="45" item="2"/>
          <tpl fld="4" item="10"/>
          <tpl fld="1" item="1"/>
          <tpl hier="68" item="1"/>
        </tpls>
      </m>
      <m in="0">
        <tpls c="7">
          <tpl fld="3" item="24"/>
          <tpl hier="15" item="0"/>
          <tpl fld="2" item="0"/>
          <tpl hier="45" item="2"/>
          <tpl fld="4" item="8"/>
          <tpl fld="1" item="1"/>
          <tpl hier="68" item="1"/>
        </tpls>
      </m>
      <m in="0">
        <tpls c="7">
          <tpl fld="3" item="24"/>
          <tpl hier="15" item="0"/>
          <tpl fld="2" item="0"/>
          <tpl hier="45" item="2"/>
          <tpl fld="4" item="7"/>
          <tpl fld="1" item="0"/>
          <tpl hier="68" item="1"/>
        </tpls>
      </m>
      <m in="0">
        <tpls c="7">
          <tpl fld="3" item="24"/>
          <tpl hier="15" item="0"/>
          <tpl fld="2" item="0"/>
          <tpl hier="45" item="2"/>
          <tpl fld="4" item="11"/>
          <tpl fld="1" item="1"/>
          <tpl hier="68" item="1"/>
        </tpls>
      </m>
      <m in="0">
        <tpls c="7">
          <tpl fld="3" item="24"/>
          <tpl hier="15" item="0"/>
          <tpl fld="2" item="0"/>
          <tpl hier="45" item="2"/>
          <tpl fld="4" item="8"/>
          <tpl fld="1" item="0"/>
          <tpl hier="68" item="1"/>
        </tpls>
      </m>
      <m in="0">
        <tpls c="7">
          <tpl fld="3" item="24"/>
          <tpl hier="15" item="0"/>
          <tpl fld="2" item="0"/>
          <tpl hier="45" item="2"/>
          <tpl fld="4" item="10"/>
          <tpl fld="1" item="0"/>
          <tpl hier="68" item="1"/>
        </tpls>
      </m>
      <m in="0">
        <tpls c="7">
          <tpl fld="3" item="24"/>
          <tpl hier="15" item="0"/>
          <tpl fld="2" item="0"/>
          <tpl hier="45" item="2"/>
          <tpl fld="4" item="7"/>
          <tpl fld="1" item="1"/>
          <tpl hier="68" item="1"/>
        </tpls>
      </m>
      <m in="0">
        <tpls c="7">
          <tpl fld="3" item="24"/>
          <tpl hier="15" item="0"/>
          <tpl fld="2" item="0"/>
          <tpl hier="45" item="2"/>
          <tpl fld="4" item="11"/>
          <tpl fld="1" item="0"/>
          <tpl hier="68" item="1"/>
        </tpls>
      </m>
      <m in="0">
        <tpls c="7">
          <tpl fld="3" item="24"/>
          <tpl hier="15" item="0"/>
          <tpl fld="2" item="0"/>
          <tpl hier="45" item="2"/>
          <tpl fld="4" item="6"/>
          <tpl fld="1" item="1"/>
          <tpl hier="68" item="1"/>
        </tpls>
      </m>
      <m in="0">
        <tpls c="7">
          <tpl fld="3" item="24"/>
          <tpl hier="15" item="0"/>
          <tpl fld="2" item="0"/>
          <tpl hier="45" item="2"/>
          <tpl fld="4" item="5"/>
          <tpl fld="1" item="0"/>
          <tpl hier="68" item="1"/>
        </tpls>
      </m>
      <m in="0">
        <tpls c="7">
          <tpl fld="3" item="24"/>
          <tpl hier="15" item="0"/>
          <tpl fld="2" item="0"/>
          <tpl hier="45" item="2"/>
          <tpl fld="4" item="5"/>
          <tpl fld="1" item="1"/>
          <tpl hier="68" item="1"/>
        </tpls>
      </m>
      <m in="0">
        <tpls c="7">
          <tpl fld="3" item="7"/>
          <tpl hier="15" item="0"/>
          <tpl fld="2" item="0"/>
          <tpl hier="45" item="2"/>
          <tpl fld="4" item="11"/>
          <tpl fld="1" item="1"/>
          <tpl hier="68" item="1"/>
        </tpls>
      </m>
      <m in="0">
        <tpls c="7">
          <tpl fld="3" item="1"/>
          <tpl hier="15" item="0"/>
          <tpl fld="2" item="0"/>
          <tpl hier="45" item="2"/>
          <tpl fld="4" item="11"/>
          <tpl fld="1" item="1"/>
          <tpl hier="68" item="1"/>
        </tpls>
      </m>
      <m in="0">
        <tpls c="7">
          <tpl fld="3" item="15"/>
          <tpl hier="15" item="0"/>
          <tpl fld="2" item="0"/>
          <tpl hier="45" item="2"/>
          <tpl fld="4" item="11"/>
          <tpl fld="1" item="1"/>
          <tpl hier="68" item="1"/>
        </tpls>
      </m>
      <n v="2200" in="0">
        <tpls c="6">
          <tpl hier="15" item="0"/>
          <tpl hier="17" item="4294967295"/>
          <tpl hier="45" item="2"/>
          <tpl fld="4" item="11"/>
          <tpl fld="1" item="1"/>
          <tpl hier="68" item="1"/>
        </tpls>
      </n>
      <m in="0">
        <tpls c="6">
          <tpl hier="15" item="0"/>
          <tpl fld="2" item="3"/>
          <tpl hier="45" item="2"/>
          <tpl fld="4" item="11"/>
          <tpl fld="1" item="1"/>
          <tpl hier="68" item="1"/>
        </tpls>
      </m>
      <m in="0">
        <tpls c="7">
          <tpl fld="3" item="3"/>
          <tpl hier="15" item="0"/>
          <tpl fld="2" item="0"/>
          <tpl hier="45" item="2"/>
          <tpl fld="4" item="11"/>
          <tpl fld="1" item="1"/>
          <tpl hier="68" item="1"/>
        </tpls>
      </m>
      <m in="0">
        <tpls c="7">
          <tpl fld="3" item="20"/>
          <tpl hier="15" item="0"/>
          <tpl fld="2" item="0"/>
          <tpl hier="45" item="2"/>
          <tpl fld="4" item="11"/>
          <tpl fld="1" item="1"/>
          <tpl hier="68" item="1"/>
        </tpls>
      </m>
      <m in="0">
        <tpls c="7">
          <tpl fld="3" item="21"/>
          <tpl hier="15" item="0"/>
          <tpl fld="2" item="0"/>
          <tpl hier="45" item="2"/>
          <tpl fld="4" item="11"/>
          <tpl fld="1" item="1"/>
          <tpl hier="68" item="1"/>
        </tpls>
      </m>
      <n v="200" in="0">
        <tpls c="6">
          <tpl hier="15" item="0"/>
          <tpl fld="2" item="4"/>
          <tpl hier="45" item="2"/>
          <tpl fld="4" item="11"/>
          <tpl fld="1" item="1"/>
          <tpl hier="68" item="1"/>
        </tpls>
      </n>
      <m in="0">
        <tpls c="7">
          <tpl fld="3" item="8"/>
          <tpl hier="15" item="0"/>
          <tpl fld="2" item="3"/>
          <tpl hier="45" item="2"/>
          <tpl fld="4" item="11"/>
          <tpl fld="1" item="1"/>
          <tpl hier="68" item="1"/>
        </tpls>
      </m>
      <m in="0">
        <tpls c="7">
          <tpl fld="3" item="25"/>
          <tpl hier="15" item="0"/>
          <tpl fld="2" item="3"/>
          <tpl hier="45" item="2"/>
          <tpl fld="4" item="11"/>
          <tpl fld="1" item="1"/>
          <tpl hier="68" item="1"/>
        </tpls>
      </m>
      <m in="0">
        <tpls c="7">
          <tpl fld="3" item="9"/>
          <tpl hier="15" item="0"/>
          <tpl fld="2" item="0"/>
          <tpl hier="45" item="2"/>
          <tpl fld="4" item="11"/>
          <tpl fld="1" item="1"/>
          <tpl hier="68" item="1"/>
        </tpls>
      </m>
      <m in="0">
        <tpls c="7">
          <tpl fld="3" item="7"/>
          <tpl hier="15" item="0"/>
          <tpl fld="2" item="0"/>
          <tpl hier="45" item="2"/>
          <tpl fld="4" item="11"/>
          <tpl fld="1" item="0"/>
          <tpl hier="68" item="1"/>
        </tpls>
      </m>
      <m in="0">
        <tpls c="7">
          <tpl fld="3" item="1"/>
          <tpl hier="15" item="0"/>
          <tpl fld="2" item="0"/>
          <tpl hier="45" item="2"/>
          <tpl fld="4" item="11"/>
          <tpl fld="1" item="0"/>
          <tpl hier="68" item="1"/>
        </tpls>
      </m>
      <m in="0">
        <tpls c="7">
          <tpl fld="3" item="21"/>
          <tpl hier="15" item="0"/>
          <tpl fld="2" item="0"/>
          <tpl hier="45" item="2"/>
          <tpl fld="4" item="11"/>
          <tpl fld="1" item="0"/>
          <tpl hier="68" item="1"/>
        </tpls>
      </m>
      <m in="0">
        <tpls c="7">
          <tpl fld="3" item="18"/>
          <tpl hier="15" item="0"/>
          <tpl fld="2" item="0"/>
          <tpl hier="45" item="2"/>
          <tpl fld="4" item="11"/>
          <tpl fld="1" item="0"/>
          <tpl hier="68" item="1"/>
        </tpls>
      </m>
      <m in="0">
        <tpls c="6">
          <tpl hier="15" item="0"/>
          <tpl fld="2" item="3"/>
          <tpl hier="45" item="2"/>
          <tpl fld="4" item="11"/>
          <tpl fld="1" item="0"/>
          <tpl hier="68" item="1"/>
        </tpls>
      </m>
      <m in="0">
        <tpls c="7">
          <tpl fld="3" item="8"/>
          <tpl hier="15" item="0"/>
          <tpl fld="2" item="3"/>
          <tpl hier="45" item="2"/>
          <tpl fld="4" item="11"/>
          <tpl fld="1" item="0"/>
          <tpl hier="68" item="1"/>
        </tpls>
      </m>
      <m in="0">
        <tpls c="7">
          <tpl fld="3" item="20"/>
          <tpl hier="15" item="0"/>
          <tpl fld="2" item="0"/>
          <tpl hier="45" item="2"/>
          <tpl fld="4" item="11"/>
          <tpl fld="1" item="0"/>
          <tpl hier="68" item="1"/>
        </tpls>
      </m>
      <m in="0">
        <tpls c="7">
          <tpl fld="3" item="25"/>
          <tpl hier="15" item="0"/>
          <tpl fld="2" item="3"/>
          <tpl hier="45" item="2"/>
          <tpl fld="4" item="11"/>
          <tpl fld="1" item="0"/>
          <tpl hier="68" item="1"/>
        </tpls>
      </m>
      <m in="0">
        <tpls c="7">
          <tpl fld="3" item="3"/>
          <tpl hier="15" item="0"/>
          <tpl fld="2" item="0"/>
          <tpl hier="45" item="2"/>
          <tpl fld="4" item="11"/>
          <tpl fld="1" item="0"/>
          <tpl hier="68" item="1"/>
        </tpls>
      </m>
      <n v="2366.079878" in="0">
        <tpls c="7">
          <tpl fld="3" item="5"/>
          <tpl hier="15" item="0"/>
          <tpl fld="2" item="2"/>
          <tpl hier="45" item="2"/>
          <tpl fld="4" item="11"/>
          <tpl fld="1" item="0"/>
          <tpl hier="68" item="1"/>
        </tpls>
      </n>
    </entries>
    <sets count="3">
      <set count="1" maxRank="1" setDefinition="{[Accounts].[Statement].&amp;[PL]}">
        <tpls c="1">
          <tpl fld="0" item="0"/>
        </tpls>
      </set>
      <set count="1" maxRank="1" setDefinition="{[Organisation].[LegalName].[All]}">
        <tpls c="1">
          <tpl hier="68" item="4294967295"/>
        </tpls>
      </set>
      <set count="1" maxRank="1" setDefinition="{[Calendar].[Year].&amp;[2021]}">
        <tpls c="1">
          <tpl fld="5" item="0"/>
        </tpls>
      </set>
    </sets>
    <queryCache count="47">
      <query mdx="[Measures].[ACT]">
        <tpls c="1">
          <tpl fld="1" item="0"/>
        </tpls>
      </query>
      <query mdx="[Accounts].[Type].&amp;[Expense]">
        <tpls c="1">
          <tpl fld="2" item="0"/>
        </tpls>
      </query>
      <query mdx="[Accounts].[Name].&amp;[Advertising]">
        <tpls c="1">
          <tpl fld="3" item="0"/>
        </tpls>
      </query>
      <query mdx="[Measures].[BUD]">
        <tpls c="1">
          <tpl fld="1" item="1"/>
        </tpls>
      </query>
      <query mdx="[Accounts].[Name].&amp;[Travel - National]">
        <tpls c="1">
          <tpl fld="3" item="1"/>
        </tpls>
      </query>
      <query mdx="[Accounts].[Type].[All]">
        <tpls c="1">
          <tpl hier="17" item="4294967295"/>
        </tpls>
      </query>
      <query mdx="[Accounts].[Type].&amp;[OtherIncome]">
        <tpls c="1">
          <tpl fld="2" item="1"/>
        </tpls>
      </query>
      <query mdx="[Accounts].[Name].&amp;[Interest Income]">
        <tpls c="1">
          <tpl fld="3" item="2"/>
        </tpls>
      </query>
      <query mdx="[Accounts].[Name].&amp;[Light, Power, Heating]">
        <tpls c="1">
          <tpl fld="3" item="3"/>
        </tpls>
      </query>
      <query mdx="[Accounts].[Name].&amp;[Consulting &amp; Accounting]">
        <tpls c="1">
          <tpl fld="3" item="4"/>
        </tpls>
      </query>
      <query mdx="[Accounts].[Type].&amp;[Revenue]">
        <tpls c="1">
          <tpl fld="2" item="2"/>
        </tpls>
      </query>
      <query mdx="[Accounts].[Name].&amp;[Sales]">
        <tpls c="1">
          <tpl fld="3" item="5"/>
        </tpls>
      </query>
      <query mdx="[Accounts].[Name].&amp;[Printing &amp; Stationery]">
        <tpls c="1">
          <tpl fld="3" item="6"/>
        </tpls>
      </query>
      <query mdx="[Calendar].[Year_Month].&amp;[2021-09-01T00:00:00]">
        <tpls c="1">
          <tpl fld="4" item="0"/>
        </tpls>
      </query>
      <query mdx="[Accounts].[Name].&amp;[Dues &amp; Subscriptions]">
        <tpls c="1">
          <tpl fld="3" item="7"/>
        </tpls>
      </query>
      <query mdx="[Accounts].[Type].&amp;[DirectCosts]">
        <tpls c="1">
          <tpl fld="2" item="3"/>
        </tpls>
      </query>
      <query mdx="[Accounts].[Name].&amp;[Cost of Goods Sold]">
        <tpls c="1">
          <tpl fld="3" item="8"/>
        </tpls>
      </query>
      <query mdx="[Accounts].[Name].&amp;[Payroll Tax Expense]">
        <tpls c="1">
          <tpl fld="3" item="9"/>
        </tpls>
      </query>
      <query mdx="[Accounts].[Name].&amp;[Income Tax Expense]">
        <tpls c="1">
          <tpl fld="3" item="10"/>
        </tpls>
      </query>
      <query mdx="[Accounts].[Name].&amp;[Subscriptions]">
        <tpls c="1">
          <tpl fld="3" item="11"/>
        </tpls>
      </query>
      <query mdx="[Accounts].[Name].&amp;[Motor Vehicle Expenses]">
        <tpls c="1">
          <tpl fld="3" item="12"/>
        </tpls>
      </query>
      <query mdx="[Accounts].[Name].&amp;[General Expenses]">
        <tpls c="1">
          <tpl fld="3" item="13"/>
        </tpls>
      </query>
      <query mdx="[Accounts].[Name].&amp;[Other Revenue]">
        <tpls c="1">
          <tpl fld="3" item="14"/>
        </tpls>
      </query>
      <query mdx="[Accounts].[Name].&amp;[Telephone &amp; Internet]">
        <tpls c="1">
          <tpl fld="3" item="15"/>
        </tpls>
      </query>
      <query mdx="[Accounts].[Name].&amp;[Office Expenses]">
        <tpls c="1">
          <tpl fld="3" item="16"/>
        </tpls>
      </query>
      <query mdx="[Accounts].[Name].&amp;[Wages and Salaries]">
        <tpls c="1">
          <tpl fld="3" item="17"/>
        </tpls>
      </query>
      <query mdx="[Accounts].[Name].&amp;[Entertainment]">
        <tpls c="1">
          <tpl fld="3" item="18"/>
        </tpls>
      </query>
      <query mdx="[Accounts].[Name].&amp;[Bank Fees]">
        <tpls c="1">
          <tpl fld="3" item="19"/>
        </tpls>
      </query>
      <query mdx="[Calendar].[Year_Month].&amp;[2021-11-01T00:00:00]">
        <tpls c="1">
          <tpl fld="4" item="1"/>
        </tpls>
      </query>
      <query mdx="[Accounts].[Type].&amp;[Overheads]">
        <tpls c="1">
          <tpl fld="2" item="4"/>
        </tpls>
      </query>
      <query mdx="[Calendar].[Year_Month].&amp;[2021-12-01T00:00:00]">
        <tpls c="1">
          <tpl fld="4" item="2"/>
        </tpls>
      </query>
      <query mdx="[Accounts].[Name].&amp;[Rent]">
        <tpls c="1">
          <tpl fld="3" item="20"/>
        </tpls>
      </query>
      <query mdx="[Accounts].[Name].&amp;[Cleaning]">
        <tpls c="1">
          <tpl fld="3" item="21"/>
        </tpls>
      </query>
      <query mdx="[Accounts].[Name].&amp;[Legal expenses]">
        <tpls c="1">
          <tpl fld="3" item="22"/>
        </tpls>
      </query>
      <query mdx="[Accounts].[Name].&amp;[Repairs and Maintenance]">
        <tpls c="1">
          <tpl fld="3" item="23"/>
        </tpls>
      </query>
      <query mdx="[Calendar].[Year_Month].&amp;[2021-10-01T00:00:00]">
        <tpls c="1">
          <tpl fld="4" item="3"/>
        </tpls>
      </query>
      <query mdx="[Accounts].[Name].&amp;[Freight &amp; Courier]">
        <tpls c="1">
          <tpl fld="3" item="24"/>
        </tpls>
      </query>
      <query mdx="[Accounts].[Name].&amp;[Purchases]">
        <tpls c="1">
          <tpl fld="3" item="25"/>
        </tpls>
      </query>
      <query mdx="[Calendar].[Year_Month].&amp;[2021-08-01T00:00:00]">
        <tpls c="1">
          <tpl fld="4" item="4"/>
        </tpls>
      </query>
      <query mdx="[Calendar].[Year_Month].&amp;[2021-01-01T00:00:00]">
        <tpls c="1">
          <tpl fld="4" item="5"/>
        </tpls>
      </query>
      <query mdx="[Calendar].[Year_Month].&amp;[2021-02-01T00:00:00]">
        <tpls c="1">
          <tpl fld="4" item="6"/>
        </tpls>
      </query>
      <query mdx="[Calendar].[Year_Month].&amp;[2021-03-01T00:00:00]">
        <tpls c="1">
          <tpl fld="4" item="7"/>
        </tpls>
      </query>
      <query mdx="[Calendar].[Year_Month].&amp;[2021-04-01T00:00:00]">
        <tpls c="1">
          <tpl fld="4" item="8"/>
        </tpls>
      </query>
      <query mdx="[Calendar].[Year_Month].&amp;[2021-05-01T00:00:00]">
        <tpls c="1">
          <tpl fld="4" item="9"/>
        </tpls>
      </query>
      <query mdx="[Calendar].[Year_Month].&amp;[2021-06-01T00:00:00]">
        <tpls c="1">
          <tpl fld="4" item="10"/>
        </tpls>
      </query>
      <query mdx="[Calendar].[Year_Month].&amp;[2021-07-01T00:00:00]">
        <tpls c="1">
          <tpl fld="4" item="11"/>
        </tpls>
      </query>
      <query mdx="[Accounts].[Name].&amp;[Intercompany Revenue]">
        <tpls c="1">
          <tpl fld="3" item="26"/>
        </tpls>
      </query>
    </queryCache>
    <serverFormats count="1">
      <serverFormat format="\$#,0.00;(\$#,0.00);\$#,0.00"/>
    </serverFormats>
  </tupleCache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Martin Kratky" refreshedDate="45956.375316087964" createdVersion="6" refreshedVersion="8" minRefreshableVersion="3" recordCount="0" supportSubquery="1" supportAdvancedDrill="1" xr:uid="{4595D311-F6A9-4D23-9457-4C0B8161EDEA}">
  <cacheSource type="external" connectionId="1"/>
  <cacheFields count="2">
    <cacheField name="[Accounts].[Statement].[Statement]" caption="Statement" numFmtId="0" hierarchy="15" level="1">
      <sharedItems containsSemiMixedTypes="0" containsString="0"/>
    </cacheField>
    <cacheField name="[Organisation].[LegalName].[LegalName]" caption="LegalName" numFmtId="0" hierarchy="67" level="1">
      <sharedItems containsSemiMixedTypes="0" containsString="0"/>
    </cacheField>
  </cacheFields>
  <cacheHierarchies count="137">
    <cacheHierarchy uniqueName="[Accounts].[Account key]" caption="Account key" attribute="1" defaultMemberUniqueName="[Accounts].[Account key].[All]" allUniqueName="[Accounts].[Account key].[All]" dimensionUniqueName="[Accounts]" displayFolder="" count="0" memberValueDatatype="130" unbalanced="0"/>
    <cacheHierarchy uniqueName="[Accounts].[Account_ID]" caption="Account_ID" attribute="1" defaultMemberUniqueName="[Accounts].[Account_ID].[All]" allUniqueName="[Accounts].[Account_ID].[All]" dimensionUniqueName="[Accounts]" displayFolder="" count="0" memberValueDatatype="20" unbalanced="0"/>
    <cacheHierarchy uniqueName="[Accounts].[BankAccountNumber]" caption="BankAccountNumber" attribute="1" defaultMemberUniqueName="[Accounts].[BankAccountNumber].[All]" allUniqueName="[Accounts].[BankAccountNumber].[All]" dimensionUniqueName="[Accounts]" displayFolder="" count="0" memberValueDatatype="130" unbalanced="0"/>
    <cacheHierarchy uniqueName="[Accounts].[Cash Flow ]" caption="Cash Flow " attribute="1" defaultMemberUniqueName="[Accounts].[Cash Flow ].[All]" allUniqueName="[Accounts].[Cash Flow ].[All]" dimensionUniqueName="[Accounts]" displayFolder="" count="0" memberValueDatatype="130" unbalanced="0"/>
    <cacheHierarchy uniqueName="[Accounts].[Cash Flow Group]" caption="Cash Flow Group" attribute="1" defaultMemberUniqueName="[Accounts].[Cash Flow Group].[All]" allUniqueName="[Accounts].[Cash Flow Group].[All]" dimensionUniqueName="[Accounts]" displayFolder="" count="0" memberValueDatatype="130" unbalanced="0"/>
    <cacheHierarchy uniqueName="[Accounts].[Class]" caption="Class" attribute="1" defaultMemberUniqueName="[Accounts].[Class].[All]" allUniqueName="[Accounts].[Class].[All]" dimensionUniqueName="[Accounts]" displayFolder="" count="0" memberValueDatatype="130" unbalanced="0"/>
    <cacheHierarchy uniqueName="[Accounts].[Code]" caption="Code" attribute="1" defaultMemberUniqueName="[Accounts].[Code].[All]" allUniqueName="[Accounts].[Code].[All]" dimensionUniqueName="[Accounts]" displayFolder="" count="0" memberValueDatatype="20" unbalanced="0"/>
    <cacheHierarchy uniqueName="[Accounts].[CurrencyCode]" caption="CurrencyCode" attribute="1" defaultMemberUniqueName="[Accounts].[CurrencyCode].[All]" allUniqueName="[Accounts].[CurrencyCode].[All]" dimensionUniqueName="[Accounts]" displayFolder="" count="0" memberValueDatatype="130" unbalanced="0"/>
    <cacheHierarchy uniqueName="[Accounts].[Description]" caption="Description" attribute="1" defaultMemberUniqueName="[Accounts].[Description].[All]" allUniqueName="[Accounts].[Description].[All]" dimensionUniqueName="[Accounts]" displayFolder="" count="0" memberValueDatatype="130" unbalanced="0"/>
    <cacheHierarchy uniqueName="[Accounts].[FX Conversion]" caption="FX Conversion" attribute="1" defaultMemberUniqueName="[Accounts].[FX Conversion].[All]" allUniqueName="[Accounts].[FX Conversion].[All]" dimensionUniqueName="[Accounts]" displayFolder="" count="0" memberValueDatatype="130" unbalanced="0"/>
    <cacheHierarchy uniqueName="[Accounts].[IC]" caption="IC" attribute="1" defaultMemberUniqueName="[Accounts].[IC].[All]" allUniqueName="[Accounts].[IC].[All]" dimensionUniqueName="[Accounts]" displayFolder="" count="0" memberValueDatatype="130" unbalanced="0"/>
    <cacheHierarchy uniqueName="[Accounts].[Name]" caption="Name" attribute="1" defaultMemberUniqueName="[Accounts].[Name].[All]" allUniqueName="[Accounts].[Name].[All]" dimensionUniqueName="[Accounts]" displayFolder="" count="0" memberValueDatatype="130" unbalanced="0"/>
    <cacheHierarchy uniqueName="[Accounts].[OrgName]" caption="OrgName" attribute="1" defaultMemberUniqueName="[Accounts].[OrgName].[All]" allUniqueName="[Accounts].[OrgName].[All]" dimensionUniqueName="[Accounts]" displayFolder="" count="0" memberValueDatatype="130" unbalanced="0"/>
    <cacheHierarchy uniqueName="[Accounts].[ReportingCode]" caption="ReportingCode" attribute="1" defaultMemberUniqueName="[Accounts].[ReportingCode].[All]" allUniqueName="[Accounts].[ReportingCode].[All]" dimensionUniqueName="[Accounts]" displayFolder="" count="0" memberValueDatatype="130" unbalanced="0"/>
    <cacheHierarchy uniqueName="[Accounts].[ReportingCodeName]" caption="ReportingCodeName" attribute="1" defaultMemberUniqueName="[Accounts].[ReportingCodeName].[All]" allUniqueName="[Accounts].[ReportingCodeName].[All]" dimensionUniqueName="[Accounts]" displayFolder="" count="0" memberValueDatatype="130" unbalanced="0"/>
    <cacheHierarchy uniqueName="[Accounts].[Statement]" caption="Statement" attribute="1" defaultMemberUniqueName="[Accounts].[Statement].[All]" allUniqueName="[Accounts].[Statement].[All]" dimensionUniqueName="[Accounts]" displayFolder="" count="2" memberValueDatatype="130" unbalanced="0">
      <fieldsUsage count="2">
        <fieldUsage x="-1"/>
        <fieldUsage x="0"/>
      </fieldsUsage>
    </cacheHierarchy>
    <cacheHierarchy uniqueName="[Accounts].[Status]" caption="Status" attribute="1" defaultMemberUniqueName="[Accounts].[Status].[All]" allUniqueName="[Accounts].[Status].[All]" dimensionUniqueName="[Accounts]" displayFolder="" count="0" memberValueDatatype="130" unbalanced="0"/>
    <cacheHierarchy uniqueName="[Accounts].[Type]" caption="Type" attribute="1" defaultMemberUniqueName="[Accounts].[Type].[All]" allUniqueName="[Accounts].[Type].[All]" dimensionUniqueName="[Accounts]" displayFolder="" count="0" memberValueDatatype="130" unbalanced="0"/>
    <cacheHierarchy uniqueName="[Accounts].[Type Order]" caption="Type Order" attribute="1" defaultMemberUniqueName="[Accounts].[Type Order].[All]" allUniqueName="[Accounts].[Type Order].[All]" dimensionUniqueName="[Accounts]" displayFolder="" count="0" memberValueDatatype="20" unbalanced="0"/>
    <cacheHierarchy uniqueName="[Asymmetric].[Order]" caption="Order" attribute="1" defaultMemberUniqueName="[Asymmetric].[Order].[All]" allUniqueName="[Asymmetric].[Order].[All]" dimensionUniqueName="[Asymmetric]" displayFolder="" count="0" memberValueDatatype="130" unbalanced="0"/>
    <cacheHierarchy uniqueName="[Asymmetric].[Report Year]" caption="Report Year" attribute="1" defaultMemberUniqueName="[Asymmetric].[Report Year].[All]" allUniqueName="[Asymmetric].[Report Year].[All]" dimensionUniqueName="[Asymmetric]" displayFolder="" count="0" memberValueDatatype="130" unbalanced="0"/>
    <cacheHierarchy uniqueName="[Asymmetric].[Scenario]" caption="Scenario" attribute="1" defaultMemberUniqueName="[Asymmetric].[Scenario].[All]" allUniqueName="[Asymmetric].[Scenario].[All]" dimensionUniqueName="[Asymmetric]" displayFolder="" count="0" memberValueDatatype="130" unbalanced="0"/>
    <cacheHierarchy uniqueName="[Budget].[Account_ID]" caption="Account_ID" attribute="1" defaultMemberUniqueName="[Budget].[Account_ID].[All]" allUniqueName="[Budget].[Account_ID].[All]" dimensionUniqueName="[Budget]" displayFolder="" count="0" memberValueDatatype="130" unbalanced="0"/>
    <cacheHierarchy uniqueName="[Budget].[AccountClass]" caption="AccountClass" attribute="1" defaultMemberUniqueName="[Budget].[AccountClass].[All]" allUniqueName="[Budget].[AccountClass].[All]" dimensionUniqueName="[Budget]" displayFolder="" count="0" memberValueDatatype="130" unbalanced="0"/>
    <cacheHierarchy uniqueName="[Budget].[Date]" caption="Date" attribute="1" time="1" defaultMemberUniqueName="[Budget].[Date].[All]" allUniqueName="[Budget].[Date].[All]" dimensionUniqueName="[Budget]" displayFolder="" count="0" memberValueDatatype="7" unbalanced="0"/>
    <cacheHierarchy uniqueName="[Budget].[Month]" caption="Month" attribute="1" defaultMemberUniqueName="[Budget].[Month].[All]" allUniqueName="[Budget].[Month].[All]" dimensionUniqueName="[Budget]" displayFolder="" count="0" memberValueDatatype="130" unbalanced="0"/>
    <cacheHierarchy uniqueName="[Budget].[NetAmount_GC]" caption="NetAmount_GC" attribute="1" defaultMemberUniqueName="[Budget].[NetAmount_GC].[All]" allUniqueName="[Budget].[NetAmount_GC].[All]" dimensionUniqueName="[Budget]" displayFolder="" count="0" memberValueDatatype="5" unbalanced="0"/>
    <cacheHierarchy uniqueName="[Budget].[NetAmount_LC]" caption="NetAmount_LC" attribute="1" defaultMemberUniqueName="[Budget].[NetAmount_LC].[All]" allUniqueName="[Budget].[NetAmount_LC].[All]" dimensionUniqueName="[Budget]" displayFolder="" count="0" memberValueDatatype="5" unbalanced="0"/>
    <cacheHierarchy uniqueName="[Budget].[Organisation_ID]" caption="Organisation_ID" attribute="1" defaultMemberUniqueName="[Budget].[Organisation_ID].[All]" allUniqueName="[Budget].[Organisation_ID].[All]" dimensionUniqueName="[Budget]" displayFolder="" count="0" memberValueDatatype="130" unbalanced="0"/>
    <cacheHierarchy uniqueName="[Budget].[Scenario]" caption="Scenario" attribute="1" defaultMemberUniqueName="[Budget].[Scenario].[All]" allUniqueName="[Budget].[Scenario].[All]" dimensionUniqueName="[Budget]" displayFolder="" count="0" memberValueDatatype="130" unbalanced="0"/>
    <cacheHierarchy uniqueName="[Budget].[Years]" caption="Years" attribute="1" defaultMemberUniqueName="[Budget].[Years].[All]" allUniqueName="[Budget].[Years].[All]" dimensionUniqueName="[Budget]" displayFolder="" count="0" memberValueDatatype="130" unbalanced="0"/>
    <cacheHierarchy uniqueName="[Calendar].[Date]" caption="Date" attribute="1" time="1" defaultMemberUniqueName="[Calendar].[Date].[All]" allUniqueName="[Calendar].[Date].[All]" dimensionUniqueName="[Calendar]" displayFolder="" count="0" memberValueDatatype="7" unbalanced="0"/>
    <cacheHierarchy uniqueName="[Calendar].[Day]" caption="Day" attribute="1" defaultMemberUniqueName="[Calendar].[Day].[All]" allUniqueName="[Calendar].[Day].[All]" dimensionUniqueName="[Calendar]" displayFolder="" count="0" memberValueDatatype="20" unbalanced="0"/>
    <cacheHierarchy uniqueName="[Calendar].[DayOfWeek]" caption="DayOfWeek" attribute="1" defaultMemberUniqueName="[Calendar].[DayOfWeek].[All]" allUniqueName="[Calendar].[DayOfWeek].[All]" dimensionUniqueName="[Calendar]" displayFolder="" count="0" memberValueDatatype="130" unbalanced="0"/>
    <cacheHierarchy uniqueName="[Calendar].[DayOfWeekAbr]" caption="DayOfWeekAbr" attribute="1" defaultMemberUniqueName="[Calendar].[DayOfWeekAbr].[All]" allUniqueName="[Calendar].[DayOfWeekAbr].[All]" dimensionUniqueName="[Calendar]" displayFolder="" count="0" memberValueDatatype="130" unbalanced="0"/>
    <cacheHierarchy uniqueName="[Calendar].[DayOfYear]" caption="DayOfYear" attribute="1" defaultMemberUniqueName="[Calendar].[DayOfYear].[All]" allUniqueName="[Calendar].[DayOfYear].[All]" dimensionUniqueName="[Calendar]" displayFolder="" count="0" memberValueDatatype="20" unbalanced="0"/>
    <cacheHierarchy uniqueName="[Calendar].[FinancialMonth]" caption="FinancialMonth" attribute="1" defaultMemberUniqueName="[Calendar].[FinancialMonth].[All]" allUniqueName="[Calendar].[FinancialMonth].[All]" dimensionUniqueName="[Calendar]" displayFolder="" count="0" memberValueDatatype="20" unbalanced="0"/>
    <cacheHierarchy uniqueName="[Calendar].[FinancialQuarter]" caption="FinancialQuarter" attribute="1" defaultMemberUniqueName="[Calendar].[FinancialQuarter].[All]" allUniqueName="[Calendar].[FinancialQuarter].[All]" dimensionUniqueName="[Calendar]" displayFolder="" count="0" memberValueDatatype="130" unbalanced="0"/>
    <cacheHierarchy uniqueName="[Calendar].[FinancialYear]" caption="FinancialYear" attribute="1" defaultMemberUniqueName="[Calendar].[FinancialYear].[All]" allUniqueName="[Calendar].[FinancialYear].[All]" dimensionUniqueName="[Calendar]" displayFolder="" count="0" memberValueDatatype="130" unbalanced="0"/>
    <cacheHierarchy uniqueName="[Calendar].[Month]" caption="Month" attribute="1" defaultMemberUniqueName="[Calendar].[Month].[All]" allUniqueName="[Calendar].[Month].[All]" dimensionUniqueName="[Calendar]" displayFolder="" count="0" memberValueDatatype="20" unbalanced="0"/>
    <cacheHierarchy uniqueName="[Calendar].[MonthEndDate]" caption="MonthEndDate" attribute="1" time="1" defaultMemberUniqueName="[Calendar].[MonthEndDate].[All]" allUniqueName="[Calendar].[MonthEndDate].[All]" dimensionUniqueName="[Calendar]" displayFolder="" count="0" memberValueDatatype="7" unbalanced="0"/>
    <cacheHierarchy uniqueName="[Calendar].[MonthName]" caption="MonthName" attribute="1" defaultMemberUniqueName="[Calendar].[MonthName].[All]" allUniqueName="[Calendar].[MonthName].[All]" dimensionUniqueName="[Calendar]" displayFolder="" count="0" memberValueDatatype="130" unbalanced="0"/>
    <cacheHierarchy uniqueName="[Calendar].[MonthNameAbr]" caption="MonthNameAbr" attribute="1" defaultMemberUniqueName="[Calendar].[MonthNameAbr].[All]" allUniqueName="[Calendar].[MonthNameAbr].[All]" dimensionUniqueName="[Calendar]" displayFolder="" count="0" memberValueDatatype="130" unbalanced="0"/>
    <cacheHierarchy uniqueName="[Calendar].[Quarter]" caption="Quarter" attribute="1" defaultMemberUniqueName="[Calendar].[Quarter].[All]" allUniqueName="[Calendar].[Quarter].[All]" dimensionUniqueName="[Calendar]" displayFolder="" count="0" memberValueDatatype="20" unbalanced="0"/>
    <cacheHierarchy uniqueName="[Calendar].[WeekOfYear]" caption="WeekOfYear" attribute="1" defaultMemberUniqueName="[Calendar].[WeekOfYear].[All]" allUniqueName="[Calendar].[WeekOfYear].[All]" dimensionUniqueName="[Calendar]" displayFolder="" count="0" memberValueDatatype="20" unbalanced="0"/>
    <cacheHierarchy uniqueName="[Calendar].[Year]" caption="Year" attribute="1" defaultMemberUniqueName="[Calendar].[Year].[All]" allUniqueName="[Calendar].[Year].[All]" dimensionUniqueName="[Calendar]" displayFolder="" count="0" memberValueDatatype="130" unbalanced="0"/>
    <cacheHierarchy uniqueName="[Calendar].[Year_Month]" caption="Year_Month" attribute="1" time="1" defaultMemberUniqueName="[Calendar].[Year_Month].[All]" allUniqueName="[Calendar].[Year_Month].[All]" dimensionUniqueName="[Calendar]" displayFolder="" count="0" memberValueDatatype="7" unbalanced="0"/>
    <cacheHierarchy uniqueName="[Calendar].[YearEndDate]" caption="YearEndDate" attribute="1" time="1" defaultMemberUniqueName="[Calendar].[YearEndDate].[All]" allUniqueName="[Calendar].[YearEndDate].[All]" dimensionUniqueName="[Calendar]" displayFolder="" count="0" memberValueDatatype="7" unbalanced="0"/>
    <cacheHierarchy uniqueName="[Calendar].[YearStartDate]" caption="YearStartDate" attribute="1" time="1" defaultMemberUniqueName="[Calendar].[YearStartDate].[All]" allUniqueName="[Calendar].[YearStartDate].[All]" dimensionUniqueName="[Calendar]" displayFolder="" count="0" memberValueDatatype="7" unbalanced="0"/>
    <cacheHierarchy uniqueName="[Closing Date].[ClosingDate]" caption="ClosingDate" attribute="1" time="1" defaultMemberUniqueName="[Closing Date].[ClosingDate].[All]" allUniqueName="[Closing Date].[ClosingDate].[All]" dimensionUniqueName="[Closing Date]" displayFolder="" count="0" memberValueDatatype="7" unbalanced="0"/>
    <cacheHierarchy uniqueName="[Closing Date].[Date]" caption="Date" attribute="1" time="1" defaultMemberUniqueName="[Closing Date].[Date].[All]" allUniqueName="[Closing Date].[Date].[All]" dimensionUniqueName="[Closing Date]" displayFolder="" count="0" memberValueDatatype="7" unbalanced="0"/>
    <cacheHierarchy uniqueName="[Closing Date].[Year]" caption="Year" attribute="1" defaultMemberUniqueName="[Closing Date].[Year].[All]" allUniqueName="[Closing Date].[Year].[All]" dimensionUniqueName="[Closing Date]" displayFolder="" count="0" memberValueDatatype="20" unbalanced="0"/>
    <cacheHierarchy uniqueName="[Closing Date].[Year_Month]" caption="Year_Month" attribute="1" time="1" defaultMemberUniqueName="[Closing Date].[Year_Month].[All]" allUniqueName="[Closing Date].[Year_Month].[All]" dimensionUniqueName="[Closing Date]" displayFolder="" count="0" memberValueDatatype="7" unbalanced="0"/>
    <cacheHierarchy uniqueName="[Organisation].[Address Line 1]" caption="Address Line 1" attribute="1" defaultMemberUniqueName="[Organisation].[Address Line 1].[All]" allUniqueName="[Organisation].[Address Line 1].[All]" dimensionUniqueName="[Organisation]" displayFolder="" count="0" memberValueDatatype="130" unbalanced="0"/>
    <cacheHierarchy uniqueName="[Organisation].[AddressLine2]" caption="AddressLine2" attribute="1" defaultMemberUniqueName="[Organisation].[AddressLine2].[All]" allUniqueName="[Organisation].[AddressLine2].[All]" dimensionUniqueName="[Organisation]" displayFolder="" count="0" memberValueDatatype="130" unbalanced="0"/>
    <cacheHierarchy uniqueName="[Organisation].[AddressLine3]" caption="AddressLine3" attribute="1" defaultMemberUniqueName="[Organisation].[AddressLine3].[All]" allUniqueName="[Organisation].[AddressLine3].[All]" dimensionUniqueName="[Organisation]" displayFolder="" count="0" memberValueDatatype="130" unbalanced="0"/>
    <cacheHierarchy uniqueName="[Organisation].[AddressType]" caption="AddressType" attribute="1" defaultMemberUniqueName="[Organisation].[AddressType].[All]" allUniqueName="[Organisation].[AddressType].[All]" dimensionUniqueName="[Organisation]" displayFolder="" count="0" memberValueDatatype="130" unbalanced="0"/>
    <cacheHierarchy uniqueName="[Organisation].[BaseCurrency]" caption="BaseCurrency" attribute="1" defaultMemberUniqueName="[Organisation].[BaseCurrency].[All]" allUniqueName="[Organisation].[BaseCurrency].[All]" dimensionUniqueName="[Organisation]" displayFolder="" count="0" memberValueDatatype="130" unbalanced="0"/>
    <cacheHierarchy uniqueName="[Organisation].[City]" caption="City" attribute="1" defaultMemberUniqueName="[Organisation].[City].[All]" allUniqueName="[Organisation].[City].[All]" dimensionUniqueName="[Organisation]" displayFolder="" count="0" memberValueDatatype="130" unbalanced="0"/>
    <cacheHierarchy uniqueName="[Organisation].[CountryCode]" caption="CountryCode" attribute="1" defaultMemberUniqueName="[Organisation].[CountryCode].[All]" allUniqueName="[Organisation].[CountryCode].[All]" dimensionUniqueName="[Organisation]" displayFolder="" count="0" memberValueDatatype="130" unbalanced="0"/>
    <cacheHierarchy uniqueName="[Organisation].[CreatedDate]" caption="CreatedDate" attribute="1" time="1" defaultMemberUniqueName="[Organisation].[CreatedDate].[All]" allUniqueName="[Organisation].[CreatedDate].[All]" dimensionUniqueName="[Organisation]" displayFolder="" count="0" memberValueDatatype="7" unbalanced="0"/>
    <cacheHierarchy uniqueName="[Organisation].[CreatedDateUTC]" caption="CreatedDateUTC" attribute="1" time="1" defaultMemberUniqueName="[Organisation].[CreatedDateUTC].[All]" allUniqueName="[Organisation].[CreatedDateUTC].[All]" dimensionUniqueName="[Organisation]" displayFolder="" count="0" memberValueDatatype="7" unbalanced="0"/>
    <cacheHierarchy uniqueName="[Organisation].[DefaultPurchasesTax]" caption="DefaultPurchasesTax" attribute="1" defaultMemberUniqueName="[Organisation].[DefaultPurchasesTax].[All]" allUniqueName="[Organisation].[DefaultPurchasesTax].[All]" dimensionUniqueName="[Organisation]" displayFolder="" count="0" memberValueDatatype="130" unbalanced="0"/>
    <cacheHierarchy uniqueName="[Organisation].[DefaultSalesTax]" caption="DefaultSalesTax" attribute="1" defaultMemberUniqueName="[Organisation].[DefaultSalesTax].[All]" allUniqueName="[Organisation].[DefaultSalesTax].[All]" dimensionUniqueName="[Organisation]" displayFolder="" count="0" memberValueDatatype="130" unbalanced="0"/>
    <cacheHierarchy uniqueName="[Organisation].[EndOfYearLockDate]" caption="EndOfYearLockDate" attribute="1" defaultMemberUniqueName="[Organisation].[EndOfYearLockDate].[All]" allUniqueName="[Organisation].[EndOfYearLockDate].[All]" dimensionUniqueName="[Organisation]" displayFolder="" count="0" memberValueDatatype="130" unbalanced="0"/>
    <cacheHierarchy uniqueName="[Organisation].[FinancialYearEndDay]" caption="FinancialYearEndDay" attribute="1" defaultMemberUniqueName="[Organisation].[FinancialYearEndDay].[All]" allUniqueName="[Organisation].[FinancialYearEndDay].[All]" dimensionUniqueName="[Organisation]" displayFolder="" count="0" memberValueDatatype="20" unbalanced="0"/>
    <cacheHierarchy uniqueName="[Organisation].[FinancialYearEndMonth]" caption="FinancialYearEndMonth" attribute="1" defaultMemberUniqueName="[Organisation].[FinancialYearEndMonth].[All]" allUniqueName="[Organisation].[FinancialYearEndMonth].[All]" dimensionUniqueName="[Organisation]" displayFolder="" count="0" memberValueDatatype="20" unbalanced="0"/>
    <cacheHierarchy uniqueName="[Organisation].[LegalName]" caption="LegalName" attribute="1" defaultMemberUniqueName="[Organisation].[LegalName].[All]" allUniqueName="[Organisation].[LegalName].[All]" dimensionUniqueName="[Organisation]" displayFolder="" count="2" memberValueDatatype="130" unbalanced="0">
      <fieldsUsage count="2">
        <fieldUsage x="-1"/>
        <fieldUsage x="1"/>
      </fieldsUsage>
    </cacheHierarchy>
    <cacheHierarchy uniqueName="[Organisation].[LineOfBusiness]" caption="LineOfBusiness" attribute="1" defaultMemberUniqueName="[Organisation].[LineOfBusiness].[All]" allUniqueName="[Organisation].[LineOfBusiness].[All]" dimensionUniqueName="[Organisation]" displayFolder="" count="0" memberValueDatatype="130" unbalanced="0"/>
    <cacheHierarchy uniqueName="[Organisation].[Organisation Name]" caption="Organisation Name" attribute="1" defaultMemberUniqueName="[Organisation].[Organisation Name].[All]" allUniqueName="[Organisation].[Organisation Name].[All]" dimensionUniqueName="[Organisation]" displayFolder="" count="0" memberValueDatatype="130" unbalanced="0"/>
    <cacheHierarchy uniqueName="[Organisation].[Organisation_ID]" caption="Organisation_ID" attribute="1" defaultMemberUniqueName="[Organisation].[Organisation_ID].[All]" allUniqueName="[Organisation].[Organisation_ID].[All]" dimensionUniqueName="[Organisation]" displayFolder="" count="0" memberValueDatatype="20" unbalanced="0"/>
    <cacheHierarchy uniqueName="[Organisation].[OrganisationEntityType]" caption="OrganisationEntityType" attribute="1" defaultMemberUniqueName="[Organisation].[OrganisationEntityType].[All]" allUniqueName="[Organisation].[OrganisationEntityType].[All]" dimensionUniqueName="[Organisation]" displayFolder="" count="0" memberValueDatatype="130" unbalanced="0"/>
    <cacheHierarchy uniqueName="[Organisation].[OrgStatus]" caption="OrgStatus" attribute="1" defaultMemberUniqueName="[Organisation].[OrgStatus].[All]" allUniqueName="[Organisation].[OrgStatus].[All]" dimensionUniqueName="[Organisation]" displayFolder="" count="0" memberValueDatatype="11" unbalanced="0"/>
    <cacheHierarchy uniqueName="[Organisation].[OrgType]" caption="OrgType" attribute="1" defaultMemberUniqueName="[Organisation].[OrgType].[All]" allUniqueName="[Organisation].[OrgType].[All]" dimensionUniqueName="[Organisation]" displayFolder="" count="0" memberValueDatatype="130" unbalanced="0"/>
    <cacheHierarchy uniqueName="[Organisation].[Ownership]" caption="Ownership" attribute="1" defaultMemberUniqueName="[Organisation].[Ownership].[All]" allUniqueName="[Organisation].[Ownership].[All]" dimensionUniqueName="[Organisation]" displayFolder="" count="0" memberValueDatatype="130" unbalanced="0"/>
    <cacheHierarchy uniqueName="[Organisation].[Parent]" caption="Parent" attribute="1" defaultMemberUniqueName="[Organisation].[Parent].[All]" allUniqueName="[Organisation].[Parent].[All]" dimensionUniqueName="[Organisation]" displayFolder="" count="0" memberValueDatatype="130" unbalanced="0"/>
    <cacheHierarchy uniqueName="[Organisation].[PaymentTermSaleType]" caption="PaymentTermSaleType" attribute="1" defaultMemberUniqueName="[Organisation].[PaymentTermSaleType].[All]" allUniqueName="[Organisation].[PaymentTermSaleType].[All]" dimensionUniqueName="[Organisation]" displayFolder="" count="0" memberValueDatatype="130" unbalanced="0"/>
    <cacheHierarchy uniqueName="[Organisation].[PaymentTermsBillDay]" caption="PaymentTermsBillDay" attribute="1" defaultMemberUniqueName="[Organisation].[PaymentTermsBillDay].[All]" allUniqueName="[Organisation].[PaymentTermsBillDay].[All]" dimensionUniqueName="[Organisation]" displayFolder="" count="0" memberValueDatatype="20" unbalanced="0"/>
    <cacheHierarchy uniqueName="[Organisation].[PaymentTermsBillType]" caption="PaymentTermsBillType" attribute="1" defaultMemberUniqueName="[Organisation].[PaymentTermsBillType].[All]" allUniqueName="[Organisation].[PaymentTermsBillType].[All]" dimensionUniqueName="[Organisation]" displayFolder="" count="0" memberValueDatatype="130" unbalanced="0"/>
    <cacheHierarchy uniqueName="[Organisation].[PaymentTermsSaleDay]" caption="PaymentTermsSaleDay" attribute="1" defaultMemberUniqueName="[Organisation].[PaymentTermsSaleDay].[All]" allUniqueName="[Organisation].[PaymentTermsSaleDay].[All]" dimensionUniqueName="[Organisation]" displayFolder="" count="0" memberValueDatatype="20" unbalanced="0"/>
    <cacheHierarchy uniqueName="[Organisation].[PaysTax]" caption="PaysTax" attribute="1" defaultMemberUniqueName="[Organisation].[PaysTax].[All]" allUniqueName="[Organisation].[PaysTax].[All]" dimensionUniqueName="[Organisation]" displayFolder="" count="0" memberValueDatatype="11" unbalanced="0"/>
    <cacheHierarchy uniqueName="[Organisation].[PeriodLockDate]" caption="PeriodLockDate" attribute="1" time="1" defaultMemberUniqueName="[Organisation].[PeriodLockDate].[All]" allUniqueName="[Organisation].[PeriodLockDate].[All]" dimensionUniqueName="[Organisation]" displayFolder="" count="0" memberValueDatatype="7" unbalanced="0"/>
    <cacheHierarchy uniqueName="[Organisation].[PhoneAreaCode]" caption="PhoneAreaCode" attribute="1" defaultMemberUniqueName="[Organisation].[PhoneAreaCode].[All]" allUniqueName="[Organisation].[PhoneAreaCode].[All]" dimensionUniqueName="[Organisation]" displayFolder="" count="0" memberValueDatatype="20" unbalanced="0"/>
    <cacheHierarchy uniqueName="[Organisation].[PhoneCountryCode]" caption="PhoneCountryCode" attribute="1" defaultMemberUniqueName="[Organisation].[PhoneCountryCode].[All]" allUniqueName="[Organisation].[PhoneCountryCode].[All]" dimensionUniqueName="[Organisation]" displayFolder="" count="0" memberValueDatatype="130" unbalanced="0"/>
    <cacheHierarchy uniqueName="[Organisation].[PhoneNumber]" caption="PhoneNumber" attribute="1" defaultMemberUniqueName="[Organisation].[PhoneNumber].[All]" allUniqueName="[Organisation].[PhoneNumber].[All]" dimensionUniqueName="[Organisation]" displayFolder="" count="0" memberValueDatatype="130" unbalanced="0"/>
    <cacheHierarchy uniqueName="[Organisation].[PhoneType]" caption="PhoneType" attribute="1" defaultMemberUniqueName="[Organisation].[PhoneType].[All]" allUniqueName="[Organisation].[PhoneType].[All]" dimensionUniqueName="[Organisation]" displayFolder="" count="0" memberValueDatatype="130" unbalanced="0"/>
    <cacheHierarchy uniqueName="[Organisation].[PostalCode]" caption="PostalCode" attribute="1" defaultMemberUniqueName="[Organisation].[PostalCode].[All]" allUniqueName="[Organisation].[PostalCode].[All]" dimensionUniqueName="[Organisation]" displayFolder="" count="0" memberValueDatatype="130" unbalanced="0"/>
    <cacheHierarchy uniqueName="[Organisation].[RegistrationNumber]" caption="RegistrationNumber" attribute="1" defaultMemberUniqueName="[Organisation].[RegistrationNumber].[All]" allUniqueName="[Organisation].[RegistrationNumber].[All]" dimensionUniqueName="[Organisation]" displayFolder="" count="0" memberValueDatatype="20" unbalanced="0"/>
    <cacheHierarchy uniqueName="[Organisation].[SalesTaxBasisType]" caption="SalesTaxBasisType" attribute="1" defaultMemberUniqueName="[Organisation].[SalesTaxBasisType].[All]" allUniqueName="[Organisation].[SalesTaxBasisType].[All]" dimensionUniqueName="[Organisation]" displayFolder="" count="0" memberValueDatatype="130" unbalanced="0"/>
    <cacheHierarchy uniqueName="[Organisation].[SalestaxPeriod]" caption="SalestaxPeriod" attribute="1" defaultMemberUniqueName="[Organisation].[SalestaxPeriod].[All]" allUniqueName="[Organisation].[SalestaxPeriod].[All]" dimensionUniqueName="[Organisation]" displayFolder="" count="0" memberValueDatatype="130" unbalanced="0"/>
    <cacheHierarchy uniqueName="[Organisation].[TaxNumber]" caption="TaxNumber" attribute="1" defaultMemberUniqueName="[Organisation].[TaxNumber].[All]" allUniqueName="[Organisation].[TaxNumber].[All]" dimensionUniqueName="[Organisation]" displayFolder="" count="0" memberValueDatatype="130" unbalanced="0"/>
    <cacheHierarchy uniqueName="[Organisation].[Timezone]" caption="Timezone" attribute="1" defaultMemberUniqueName="[Organisation].[Timezone].[All]" allUniqueName="[Organisation].[Timezone].[All]" dimensionUniqueName="[Organisation]" displayFolder="" count="0" memberValueDatatype="130" unbalanced="0"/>
    <cacheHierarchy uniqueName="[Organisation].[Version]" caption="Version" attribute="1" defaultMemberUniqueName="[Organisation].[Version].[All]" allUniqueName="[Organisation].[Version].[All]" dimensionUniqueName="[Organisation]" displayFolder="" count="0" memberValueDatatype="130" unbalanced="0"/>
    <cacheHierarchy uniqueName="[Report Structure].[CalcType]" caption="CalcType" attribute="1" defaultMemberUniqueName="[Report Structure].[CalcType].[All]" allUniqueName="[Report Structure].[CalcType].[All]" dimensionUniqueName="[Report Structure]" displayFolder="" count="0" memberValueDatatype="130" unbalanced="0"/>
    <cacheHierarchy uniqueName="[Report Structure].[Header]" caption="Header" attribute="1" defaultMemberUniqueName="[Report Structure].[Header].[All]" allUniqueName="[Report Structure].[Header].[All]" dimensionUniqueName="[Report Structure]" displayFolder="" count="0" memberValueDatatype="130" unbalanced="0"/>
    <cacheHierarchy uniqueName="[Report Structure].[Order]" caption="Order" attribute="1" defaultMemberUniqueName="[Report Structure].[Order].[All]" allUniqueName="[Report Structure].[Order].[All]" dimensionUniqueName="[Report Structure]" displayFolder="" count="0" memberValueDatatype="20" unbalanced="0"/>
    <cacheHierarchy uniqueName="[Report Structure].[Statement]" caption="Statement" attribute="1" defaultMemberUniqueName="[Report Structure].[Statement].[All]" allUniqueName="[Report Structure].[Statement].[All]" dimensionUniqueName="[Report Structure]" displayFolder="" count="0" memberValueDatatype="130" unbalanced="0"/>
    <cacheHierarchy uniqueName="[Scenario].[Scenario]" caption="Scenario" attribute="1" defaultMemberUniqueName="[Scenario].[Scenario].[All]" allUniqueName="[Scenario].[Scenario].[All]" dimensionUniqueName="[Scenario]" displayFolder="" count="0" memberValueDatatype="130" unbalanced="0"/>
    <cacheHierarchy uniqueName="[Transactions].[Account_ID]" caption="Account_ID" attribute="1" defaultMemberUniqueName="[Transactions].[Account_ID].[All]" allUniqueName="[Transactions].[Account_ID].[All]" dimensionUniqueName="[Transactions]" displayFolder="" count="0" memberValueDatatype="130" unbalanced="0"/>
    <cacheHierarchy uniqueName="[Transactions].[AccountClass]" caption="AccountClass" attribute="1" defaultMemberUniqueName="[Transactions].[AccountClass].[All]" allUniqueName="[Transactions].[AccountClass].[All]" dimensionUniqueName="[Transactions]" displayFolder="" count="0" memberValueDatatype="130" unbalanced="0"/>
    <cacheHierarchy uniqueName="[Transactions].[AccountCode]" caption="AccountCode" attribute="1" defaultMemberUniqueName="[Transactions].[AccountCode].[All]" allUniqueName="[Transactions].[AccountCode].[All]" dimensionUniqueName="[Transactions]" displayFolder="" count="0" memberValueDatatype="20" unbalanced="0"/>
    <cacheHierarchy uniqueName="[Transactions].[Balance]" caption="Balance" attribute="1" defaultMemberUniqueName="[Transactions].[Balance].[All]" allUniqueName="[Transactions].[Balance].[All]" dimensionUniqueName="[Transactions]" displayFolder="" count="0" memberValueDatatype="5" unbalanced="0"/>
    <cacheHierarchy uniqueName="[Transactions].[BaseCurrency]" caption="BaseCurrency" attribute="1" defaultMemberUniqueName="[Transactions].[BaseCurrency].[All]" allUniqueName="[Transactions].[BaseCurrency].[All]" dimensionUniqueName="[Transactions]" displayFolder="" count="0" memberValueDatatype="130" unbalanced="0"/>
    <cacheHierarchy uniqueName="[Transactions].[CreatedOrUpdatedDateUTC]" caption="CreatedOrUpdatedDateUTC" attribute="1" time="1" defaultMemberUniqueName="[Transactions].[CreatedOrUpdatedDateUTC].[All]" allUniqueName="[Transactions].[CreatedOrUpdatedDateUTC].[All]" dimensionUniqueName="[Transactions]" displayFolder="" count="0" memberValueDatatype="7" unbalanced="0"/>
    <cacheHierarchy uniqueName="[Transactions].[Date]" caption="Date" attribute="1" time="1" defaultMemberUniqueName="[Transactions].[Date].[All]" allUniqueName="[Transactions].[Date].[All]" dimensionUniqueName="[Transactions]" displayFolder="" count="0" memberValueDatatype="7" unbalanced="0"/>
    <cacheHierarchy uniqueName="[Transactions].[GrossAmt_GC]" caption="GrossAmt_GC" attribute="1" defaultMemberUniqueName="[Transactions].[GrossAmt_GC].[All]" allUniqueName="[Transactions].[GrossAmt_GC].[All]" dimensionUniqueName="[Transactions]" displayFolder="" count="0" memberValueDatatype="5" unbalanced="0"/>
    <cacheHierarchy uniqueName="[Transactions].[GrossAmt_LC]" caption="GrossAmt_LC" attribute="1" defaultMemberUniqueName="[Transactions].[GrossAmt_LC].[All]" allUniqueName="[Transactions].[GrossAmt_LC].[All]" dimensionUniqueName="[Transactions]" displayFolder="" count="0" memberValueDatatype="5" unbalanced="0"/>
    <cacheHierarchy uniqueName="[Transactions].[Group_FXRate]" caption="Group_FXRate" attribute="1" defaultMemberUniqueName="[Transactions].[Group_FXRate].[All]" allUniqueName="[Transactions].[Group_FXRate].[All]" dimensionUniqueName="[Transactions]" displayFolder="" count="0" memberValueDatatype="20" unbalanced="0"/>
    <cacheHierarchy uniqueName="[Transactions].[JID]" caption="JID" attribute="1" defaultMemberUniqueName="[Transactions].[JID].[All]" allUniqueName="[Transactions].[JID].[All]" dimensionUniqueName="[Transactions]" displayFolder="" count="0" memberValueDatatype="130" unbalanced="0"/>
    <cacheHierarchy uniqueName="[Transactions].[Month]" caption="Month" attribute="1" defaultMemberUniqueName="[Transactions].[Month].[All]" allUniqueName="[Transactions].[Month].[All]" dimensionUniqueName="[Transactions]" displayFolder="" count="0" memberValueDatatype="130" unbalanced="0"/>
    <cacheHierarchy uniqueName="[Transactions].[Months]" caption="Months" attribute="1" defaultMemberUniqueName="[Transactions].[Months].[All]" allUniqueName="[Transactions].[Months].[All]" dimensionUniqueName="[Transactions]" displayFolder="" count="0" memberValueDatatype="130" unbalanced="0"/>
    <cacheHierarchy uniqueName="[Transactions].[NetAmount_GC]" caption="NetAmount_GC" attribute="1" defaultMemberUniqueName="[Transactions].[NetAmount_GC].[All]" allUniqueName="[Transactions].[NetAmount_GC].[All]" dimensionUniqueName="[Transactions]" displayFolder="" count="0" memberValueDatatype="5" unbalanced="0"/>
    <cacheHierarchy uniqueName="[Transactions].[NetAmount_LC]" caption="NetAmount_LC" attribute="1" defaultMemberUniqueName="[Transactions].[NetAmount_LC].[All]" allUniqueName="[Transactions].[NetAmount_LC].[All]" dimensionUniqueName="[Transactions]" displayFolder="" count="0" memberValueDatatype="5" unbalanced="0"/>
    <cacheHierarchy uniqueName="[Transactions].[Organisation_ID]" caption="Organisation_ID" attribute="1" defaultMemberUniqueName="[Transactions].[Organisation_ID].[All]" allUniqueName="[Transactions].[Organisation_ID].[All]" dimensionUniqueName="[Transactions]" displayFolder="" count="0" memberValueDatatype="130" unbalanced="0"/>
    <cacheHierarchy uniqueName="[Transactions].[Reference]" caption="Reference" attribute="1" defaultMemberUniqueName="[Transactions].[Reference].[All]" allUniqueName="[Transactions].[Reference].[All]" dimensionUniqueName="[Transactions]" displayFolder="" count="0" memberValueDatatype="130" unbalanced="0"/>
    <cacheHierarchy uniqueName="[Transactions].[Scenario]" caption="Scenario" attribute="1" defaultMemberUniqueName="[Transactions].[Scenario].[All]" allUniqueName="[Transactions].[Scenario].[All]" dimensionUniqueName="[Transactions]" displayFolder="" count="0" memberValueDatatype="130" unbalanced="0"/>
    <cacheHierarchy uniqueName="[Transactions].[TaxName]" caption="TaxName" attribute="1" defaultMemberUniqueName="[Transactions].[TaxName].[All]" allUniqueName="[Transactions].[TaxName].[All]" dimensionUniqueName="[Transactions]" displayFolder="" count="0" memberValueDatatype="130" unbalanced="0"/>
    <cacheHierarchy uniqueName="[Transactions].[TaxType]" caption="TaxType" attribute="1" defaultMemberUniqueName="[Transactions].[TaxType].[All]" allUniqueName="[Transactions].[TaxType].[All]" dimensionUniqueName="[Transactions]" displayFolder="" count="0" memberValueDatatype="130" unbalanced="0"/>
    <cacheHierarchy uniqueName="[Transactions].[Years]" caption="Years" attribute="1" defaultMemberUniqueName="[Transactions].[Years].[All]" allUniqueName="[Transactions].[Years].[All]" dimensionUniqueName="[Transactions]" displayFolder="" count="0" memberValueDatatype="130" unbalanced="0"/>
    <cacheHierarchy uniqueName="[Measures].[Filtered]" caption="Filtered" measure="1" displayFolder="" measureGroup="Accounts" count="0"/>
    <cacheHierarchy uniqueName="[Measures].[Total Revenue]" caption="Total Revenue" measure="1" displayFolder="" measureGroup="Transactions" count="0"/>
    <cacheHierarchy uniqueName="[Measures].[%Sales]" caption="%Sales" measure="1" displayFolder="" measureGroup="Transactions" count="0"/>
    <cacheHierarchy uniqueName="[Measures].[ACT]" caption="ACT" measure="1" displayFolder="" measureGroup="Transactions" count="0"/>
    <cacheHierarchy uniqueName="[Measures].[VAR]" caption="VAR" measure="1" displayFolder="" measureGroup="Transactions" count="0"/>
    <cacheHierarchy uniqueName="[Measures].[VAR %]" caption="VAR %" measure="1" displayFolder="" measureGroup="Transactions" count="0"/>
    <cacheHierarchy uniqueName="[Measures].[PY ACT]" caption="PY ACT" measure="1" displayFolder="" measureGroup="Transactions" count="0"/>
    <cacheHierarchy uniqueName="[Measures].[YTD ACT]" caption="YTD ACT" measure="1" displayFolder="" measureGroup="Transactions" count="0"/>
    <cacheHierarchy uniqueName="[Measures].[Running Total]" caption="Running Total" measure="1" displayFolder="" measureGroup="Transactions" count="0"/>
    <cacheHierarchy uniqueName="[Measures].[Report Value]" caption="Report Value" measure="1" displayFolder="" measureGroup="Transactions" count="0"/>
    <cacheHierarchy uniqueName="[Measures].[Balance sheet]" caption="Balance sheet" measure="1" displayFolder="" measureGroup="Transactions" count="0"/>
    <cacheHierarchy uniqueName="[Measures].[showYear]" caption="showYear" measure="1" displayFolder="" measureGroup="Transactions" count="0"/>
    <cacheHierarchy uniqueName="[Measures].[BUD]" caption="BUD" measure="1" displayFolder="" measureGroup="Transactions" count="0"/>
    <cacheHierarchy uniqueName="[Measures].[Asymmetric]" caption="Asymmetric" measure="1" displayFolder="" measureGroup="Transactions" count="0"/>
    <cacheHierarchy uniqueName="[Measures].[Rolling Forecast]" caption="Rolling Forecast" measure="1" displayFolder="" measureGroup="Transactions" count="0"/>
    <cacheHierarchy uniqueName="[Measures].[DAX ACT ex Calender]" caption="DAX ACT ex Calender" measure="1" displayFolder="" measureGroup="Transactions" count="0"/>
    <cacheHierarchy uniqueName="[Measures].[Header Order]" caption="Header Order" measure="1" displayFolder="" measureGroup="Report Structure" count="0"/>
    <cacheHierarchy uniqueName="[Measures].[__Default measure]" caption="__Default measure" measure="1" displayFolder="" count="0" hidden="1"/>
  </cacheHierarchies>
  <kpis count="0"/>
  <dimensions count="10">
    <dimension name="Accounts" uniqueName="[Accounts]" caption="Accounts"/>
    <dimension name="Asymmetric" uniqueName="[Asymmetric]" caption="Asymmetric"/>
    <dimension name="Budget" uniqueName="[Budget]" caption="Budget"/>
    <dimension name="Calendar" uniqueName="[Calendar]" caption="Calendar"/>
    <dimension name="Closing Date" uniqueName="[Closing Date]" caption="Closing Date"/>
    <dimension measure="1" name="Measures" uniqueName="[Measures]" caption="Measures"/>
    <dimension name="Organisation" uniqueName="[Organisation]" caption="Organisation"/>
    <dimension name="Report Structure" uniqueName="[Report Structure]" caption="Report Structure"/>
    <dimension name="Scenario" uniqueName="[Scenario]" caption="Scenario"/>
    <dimension name="Transactions" uniqueName="[Transactions]" caption="Transactions"/>
  </dimensions>
  <measureGroups count="9">
    <measureGroup name="Accounts" caption="Accounts"/>
    <measureGroup name="Asymmetric" caption="Asymmetric"/>
    <measureGroup name="Budget" caption="Budget"/>
    <measureGroup name="Calendar" caption="Calendar"/>
    <measureGroup name="Closing Date" caption="Closing Date"/>
    <measureGroup name="Organisation" caption="Organisation"/>
    <measureGroup name="Report Structure" caption="Report Structure"/>
    <measureGroup name="Scenario" caption="Scenario"/>
    <measureGroup name="Transactions" caption="Transactions"/>
  </measureGroups>
  <maps count="20">
    <map measureGroup="0" dimension="0"/>
    <map measureGroup="0" dimension="7"/>
    <map measureGroup="1" dimension="1"/>
    <map measureGroup="2" dimension="0"/>
    <map measureGroup="2" dimension="2"/>
    <map measureGroup="2" dimension="3"/>
    <map measureGroup="2" dimension="6"/>
    <map measureGroup="2" dimension="7"/>
    <map measureGroup="3" dimension="3"/>
    <map measureGroup="4" dimension="4"/>
    <map measureGroup="5" dimension="6"/>
    <map measureGroup="6" dimension="7"/>
    <map measureGroup="7" dimension="8"/>
    <map measureGroup="8" dimension="0"/>
    <map measureGroup="8" dimension="1"/>
    <map measureGroup="8" dimension="3"/>
    <map measureGroup="8" dimension="6"/>
    <map measureGroup="8" dimension="7"/>
    <map measureGroup="8" dimension="8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Martin Kratky" refreshedDate="45956.375327662034" createdVersion="6" refreshedVersion="8" minRefreshableVersion="3" recordCount="0" supportSubquery="1" supportAdvancedDrill="1" xr:uid="{00000000-000A-0000-FFFF-FFFF01000000}">
  <cacheSource type="external" connectionId="1"/>
  <cacheFields count="3">
    <cacheField name="[Accounts].[Statement].[Statement]" caption="Statement" numFmtId="0" hierarchy="15" level="1">
      <sharedItems containsSemiMixedTypes="0" containsString="0"/>
    </cacheField>
    <cacheField name="[Organisation].[LegalName].[LegalName]" caption="LegalName" numFmtId="0" hierarchy="67" level="1">
      <sharedItems containsSemiMixedTypes="0" containsString="0"/>
    </cacheField>
    <cacheField name="[Calendar].[Year].[Year]" caption="Year" numFmtId="0" hierarchy="45" level="1">
      <sharedItems containsSemiMixedTypes="0" containsString="0"/>
    </cacheField>
  </cacheFields>
  <cacheHierarchies count="137">
    <cacheHierarchy uniqueName="[Accounts].[Account key]" caption="Account key" attribute="1" defaultMemberUniqueName="[Accounts].[Account key].[All]" allUniqueName="[Accounts].[Account key].[All]" dimensionUniqueName="[Accounts]" displayFolder="" count="0" memberValueDatatype="130" unbalanced="0"/>
    <cacheHierarchy uniqueName="[Accounts].[Account_ID]" caption="Account_ID" attribute="1" defaultMemberUniqueName="[Accounts].[Account_ID].[All]" allUniqueName="[Accounts].[Account_ID].[All]" dimensionUniqueName="[Accounts]" displayFolder="" count="0" memberValueDatatype="20" unbalanced="0"/>
    <cacheHierarchy uniqueName="[Accounts].[BankAccountNumber]" caption="BankAccountNumber" attribute="1" defaultMemberUniqueName="[Accounts].[BankAccountNumber].[All]" allUniqueName="[Accounts].[BankAccountNumber].[All]" dimensionUniqueName="[Accounts]" displayFolder="" count="0" memberValueDatatype="130" unbalanced="0"/>
    <cacheHierarchy uniqueName="[Accounts].[Cash Flow ]" caption="Cash Flow " attribute="1" defaultMemberUniqueName="[Accounts].[Cash Flow ].[All]" allUniqueName="[Accounts].[Cash Flow ].[All]" dimensionUniqueName="[Accounts]" displayFolder="" count="0" memberValueDatatype="130" unbalanced="0"/>
    <cacheHierarchy uniqueName="[Accounts].[Cash Flow Group]" caption="Cash Flow Group" attribute="1" defaultMemberUniqueName="[Accounts].[Cash Flow Group].[All]" allUniqueName="[Accounts].[Cash Flow Group].[All]" dimensionUniqueName="[Accounts]" displayFolder="" count="0" memberValueDatatype="130" unbalanced="0"/>
    <cacheHierarchy uniqueName="[Accounts].[Class]" caption="Class" attribute="1" defaultMemberUniqueName="[Accounts].[Class].[All]" allUniqueName="[Accounts].[Class].[All]" dimensionUniqueName="[Accounts]" displayFolder="" count="0" memberValueDatatype="130" unbalanced="0"/>
    <cacheHierarchy uniqueName="[Accounts].[Code]" caption="Code" attribute="1" defaultMemberUniqueName="[Accounts].[Code].[All]" allUniqueName="[Accounts].[Code].[All]" dimensionUniqueName="[Accounts]" displayFolder="" count="0" memberValueDatatype="20" unbalanced="0"/>
    <cacheHierarchy uniqueName="[Accounts].[CurrencyCode]" caption="CurrencyCode" attribute="1" defaultMemberUniqueName="[Accounts].[CurrencyCode].[All]" allUniqueName="[Accounts].[CurrencyCode].[All]" dimensionUniqueName="[Accounts]" displayFolder="" count="0" memberValueDatatype="130" unbalanced="0"/>
    <cacheHierarchy uniqueName="[Accounts].[Description]" caption="Description" attribute="1" defaultMemberUniqueName="[Accounts].[Description].[All]" allUniqueName="[Accounts].[Description].[All]" dimensionUniqueName="[Accounts]" displayFolder="" count="0" memberValueDatatype="130" unbalanced="0"/>
    <cacheHierarchy uniqueName="[Accounts].[FX Conversion]" caption="FX Conversion" attribute="1" defaultMemberUniqueName="[Accounts].[FX Conversion].[All]" allUniqueName="[Accounts].[FX Conversion].[All]" dimensionUniqueName="[Accounts]" displayFolder="" count="0" memberValueDatatype="130" unbalanced="0"/>
    <cacheHierarchy uniqueName="[Accounts].[IC]" caption="IC" attribute="1" defaultMemberUniqueName="[Accounts].[IC].[All]" allUniqueName="[Accounts].[IC].[All]" dimensionUniqueName="[Accounts]" displayFolder="" count="0" memberValueDatatype="130" unbalanced="0"/>
    <cacheHierarchy uniqueName="[Accounts].[Name]" caption="Name" attribute="1" defaultMemberUniqueName="[Accounts].[Name].[All]" allUniqueName="[Accounts].[Name].[All]" dimensionUniqueName="[Accounts]" displayFolder="" count="0" memberValueDatatype="130" unbalanced="0"/>
    <cacheHierarchy uniqueName="[Accounts].[OrgName]" caption="OrgName" attribute="1" defaultMemberUniqueName="[Accounts].[OrgName].[All]" allUniqueName="[Accounts].[OrgName].[All]" dimensionUniqueName="[Accounts]" displayFolder="" count="0" memberValueDatatype="130" unbalanced="0"/>
    <cacheHierarchy uniqueName="[Accounts].[ReportingCode]" caption="ReportingCode" attribute="1" defaultMemberUniqueName="[Accounts].[ReportingCode].[All]" allUniqueName="[Accounts].[ReportingCode].[All]" dimensionUniqueName="[Accounts]" displayFolder="" count="0" memberValueDatatype="130" unbalanced="0"/>
    <cacheHierarchy uniqueName="[Accounts].[ReportingCodeName]" caption="ReportingCodeName" attribute="1" defaultMemberUniqueName="[Accounts].[ReportingCodeName].[All]" allUniqueName="[Accounts].[ReportingCodeName].[All]" dimensionUniqueName="[Accounts]" displayFolder="" count="0" memberValueDatatype="130" unbalanced="0"/>
    <cacheHierarchy uniqueName="[Accounts].[Statement]" caption="Statement" attribute="1" defaultMemberUniqueName="[Accounts].[Statement].[All]" allUniqueName="[Accounts].[Statement].[All]" dimensionUniqueName="[Accounts]" displayFolder="" count="2" memberValueDatatype="130" unbalanced="0">
      <fieldsUsage count="2">
        <fieldUsage x="-1"/>
        <fieldUsage x="0"/>
      </fieldsUsage>
    </cacheHierarchy>
    <cacheHierarchy uniqueName="[Accounts].[Status]" caption="Status" attribute="1" defaultMemberUniqueName="[Accounts].[Status].[All]" allUniqueName="[Accounts].[Status].[All]" dimensionUniqueName="[Accounts]" displayFolder="" count="0" memberValueDatatype="130" unbalanced="0"/>
    <cacheHierarchy uniqueName="[Accounts].[Type]" caption="Type" attribute="1" defaultMemberUniqueName="[Accounts].[Type].[All]" allUniqueName="[Accounts].[Type].[All]" dimensionUniqueName="[Accounts]" displayFolder="" count="0" memberValueDatatype="130" unbalanced="0"/>
    <cacheHierarchy uniqueName="[Accounts].[Type Order]" caption="Type Order" attribute="1" defaultMemberUniqueName="[Accounts].[Type Order].[All]" allUniqueName="[Accounts].[Type Order].[All]" dimensionUniqueName="[Accounts]" displayFolder="" count="0" memberValueDatatype="20" unbalanced="0"/>
    <cacheHierarchy uniqueName="[Asymmetric].[Order]" caption="Order" attribute="1" defaultMemberUniqueName="[Asymmetric].[Order].[All]" allUniqueName="[Asymmetric].[Order].[All]" dimensionUniqueName="[Asymmetric]" displayFolder="" count="0" memberValueDatatype="130" unbalanced="0"/>
    <cacheHierarchy uniqueName="[Asymmetric].[Report Year]" caption="Report Year" attribute="1" defaultMemberUniqueName="[Asymmetric].[Report Year].[All]" allUniqueName="[Asymmetric].[Report Year].[All]" dimensionUniqueName="[Asymmetric]" displayFolder="" count="0" memberValueDatatype="130" unbalanced="0"/>
    <cacheHierarchy uniqueName="[Asymmetric].[Scenario]" caption="Scenario" attribute="1" defaultMemberUniqueName="[Asymmetric].[Scenario].[All]" allUniqueName="[Asymmetric].[Scenario].[All]" dimensionUniqueName="[Asymmetric]" displayFolder="" count="0" memberValueDatatype="130" unbalanced="0"/>
    <cacheHierarchy uniqueName="[Budget].[Account_ID]" caption="Account_ID" attribute="1" defaultMemberUniqueName="[Budget].[Account_ID].[All]" allUniqueName="[Budget].[Account_ID].[All]" dimensionUniqueName="[Budget]" displayFolder="" count="0" memberValueDatatype="130" unbalanced="0"/>
    <cacheHierarchy uniqueName="[Budget].[AccountClass]" caption="AccountClass" attribute="1" defaultMemberUniqueName="[Budget].[AccountClass].[All]" allUniqueName="[Budget].[AccountClass].[All]" dimensionUniqueName="[Budget]" displayFolder="" count="0" memberValueDatatype="130" unbalanced="0"/>
    <cacheHierarchy uniqueName="[Budget].[Date]" caption="Date" attribute="1" time="1" defaultMemberUniqueName="[Budget].[Date].[All]" allUniqueName="[Budget].[Date].[All]" dimensionUniqueName="[Budget]" displayFolder="" count="0" memberValueDatatype="7" unbalanced="0"/>
    <cacheHierarchy uniqueName="[Budget].[Month]" caption="Month" attribute="1" defaultMemberUniqueName="[Budget].[Month].[All]" allUniqueName="[Budget].[Month].[All]" dimensionUniqueName="[Budget]" displayFolder="" count="0" memberValueDatatype="130" unbalanced="0"/>
    <cacheHierarchy uniqueName="[Budget].[NetAmount_GC]" caption="NetAmount_GC" attribute="1" defaultMemberUniqueName="[Budget].[NetAmount_GC].[All]" allUniqueName="[Budget].[NetAmount_GC].[All]" dimensionUniqueName="[Budget]" displayFolder="" count="0" memberValueDatatype="5" unbalanced="0"/>
    <cacheHierarchy uniqueName="[Budget].[NetAmount_LC]" caption="NetAmount_LC" attribute="1" defaultMemberUniqueName="[Budget].[NetAmount_LC].[All]" allUniqueName="[Budget].[NetAmount_LC].[All]" dimensionUniqueName="[Budget]" displayFolder="" count="0" memberValueDatatype="5" unbalanced="0"/>
    <cacheHierarchy uniqueName="[Budget].[Organisation_ID]" caption="Organisation_ID" attribute="1" defaultMemberUniqueName="[Budget].[Organisation_ID].[All]" allUniqueName="[Budget].[Organisation_ID].[All]" dimensionUniqueName="[Budget]" displayFolder="" count="0" memberValueDatatype="130" unbalanced="0"/>
    <cacheHierarchy uniqueName="[Budget].[Scenario]" caption="Scenario" attribute="1" defaultMemberUniqueName="[Budget].[Scenario].[All]" allUniqueName="[Budget].[Scenario].[All]" dimensionUniqueName="[Budget]" displayFolder="" count="0" memberValueDatatype="130" unbalanced="0"/>
    <cacheHierarchy uniqueName="[Budget].[Years]" caption="Years" attribute="1" defaultMemberUniqueName="[Budget].[Years].[All]" allUniqueName="[Budget].[Years].[All]" dimensionUniqueName="[Budget]" displayFolder="" count="0" memberValueDatatype="130" unbalanced="0"/>
    <cacheHierarchy uniqueName="[Calendar].[Date]" caption="Date" attribute="1" time="1" defaultMemberUniqueName="[Calendar].[Date].[All]" allUniqueName="[Calendar].[Date].[All]" dimensionUniqueName="[Calendar]" displayFolder="" count="0" memberValueDatatype="7" unbalanced="0"/>
    <cacheHierarchy uniqueName="[Calendar].[Day]" caption="Day" attribute="1" defaultMemberUniqueName="[Calendar].[Day].[All]" allUniqueName="[Calendar].[Day].[All]" dimensionUniqueName="[Calendar]" displayFolder="" count="0" memberValueDatatype="20" unbalanced="0"/>
    <cacheHierarchy uniqueName="[Calendar].[DayOfWeek]" caption="DayOfWeek" attribute="1" defaultMemberUniqueName="[Calendar].[DayOfWeek].[All]" allUniqueName="[Calendar].[DayOfWeek].[All]" dimensionUniqueName="[Calendar]" displayFolder="" count="0" memberValueDatatype="130" unbalanced="0"/>
    <cacheHierarchy uniqueName="[Calendar].[DayOfWeekAbr]" caption="DayOfWeekAbr" attribute="1" defaultMemberUniqueName="[Calendar].[DayOfWeekAbr].[All]" allUniqueName="[Calendar].[DayOfWeekAbr].[All]" dimensionUniqueName="[Calendar]" displayFolder="" count="0" memberValueDatatype="130" unbalanced="0"/>
    <cacheHierarchy uniqueName="[Calendar].[DayOfYear]" caption="DayOfYear" attribute="1" defaultMemberUniqueName="[Calendar].[DayOfYear].[All]" allUniqueName="[Calendar].[DayOfYear].[All]" dimensionUniqueName="[Calendar]" displayFolder="" count="0" memberValueDatatype="20" unbalanced="0"/>
    <cacheHierarchy uniqueName="[Calendar].[FinancialMonth]" caption="FinancialMonth" attribute="1" defaultMemberUniqueName="[Calendar].[FinancialMonth].[All]" allUniqueName="[Calendar].[FinancialMonth].[All]" dimensionUniqueName="[Calendar]" displayFolder="" count="0" memberValueDatatype="20" unbalanced="0"/>
    <cacheHierarchy uniqueName="[Calendar].[FinancialQuarter]" caption="FinancialQuarter" attribute="1" defaultMemberUniqueName="[Calendar].[FinancialQuarter].[All]" allUniqueName="[Calendar].[FinancialQuarter].[All]" dimensionUniqueName="[Calendar]" displayFolder="" count="0" memberValueDatatype="130" unbalanced="0"/>
    <cacheHierarchy uniqueName="[Calendar].[FinancialYear]" caption="FinancialYear" attribute="1" defaultMemberUniqueName="[Calendar].[FinancialYear].[All]" allUniqueName="[Calendar].[FinancialYear].[All]" dimensionUniqueName="[Calendar]" displayFolder="" count="0" memberValueDatatype="130" unbalanced="0"/>
    <cacheHierarchy uniqueName="[Calendar].[Month]" caption="Month" attribute="1" defaultMemberUniqueName="[Calendar].[Month].[All]" allUniqueName="[Calendar].[Month].[All]" dimensionUniqueName="[Calendar]" displayFolder="" count="0" memberValueDatatype="20" unbalanced="0"/>
    <cacheHierarchy uniqueName="[Calendar].[MonthEndDate]" caption="MonthEndDate" attribute="1" time="1" defaultMemberUniqueName="[Calendar].[MonthEndDate].[All]" allUniqueName="[Calendar].[MonthEndDate].[All]" dimensionUniqueName="[Calendar]" displayFolder="" count="0" memberValueDatatype="7" unbalanced="0"/>
    <cacheHierarchy uniqueName="[Calendar].[MonthName]" caption="MonthName" attribute="1" defaultMemberUniqueName="[Calendar].[MonthName].[All]" allUniqueName="[Calendar].[MonthName].[All]" dimensionUniqueName="[Calendar]" displayFolder="" count="0" memberValueDatatype="130" unbalanced="0"/>
    <cacheHierarchy uniqueName="[Calendar].[MonthNameAbr]" caption="MonthNameAbr" attribute="1" defaultMemberUniqueName="[Calendar].[MonthNameAbr].[All]" allUniqueName="[Calendar].[MonthNameAbr].[All]" dimensionUniqueName="[Calendar]" displayFolder="" count="0" memberValueDatatype="130" unbalanced="0"/>
    <cacheHierarchy uniqueName="[Calendar].[Quarter]" caption="Quarter" attribute="1" defaultMemberUniqueName="[Calendar].[Quarter].[All]" allUniqueName="[Calendar].[Quarter].[All]" dimensionUniqueName="[Calendar]" displayFolder="" count="0" memberValueDatatype="20" unbalanced="0"/>
    <cacheHierarchy uniqueName="[Calendar].[WeekOfYear]" caption="WeekOfYear" attribute="1" defaultMemberUniqueName="[Calendar].[WeekOfYear].[All]" allUniqueName="[Calendar].[WeekOfYear].[All]" dimensionUniqueName="[Calendar]" displayFolder="" count="0" memberValueDatatype="20" unbalanced="0"/>
    <cacheHierarchy uniqueName="[Calendar].[Year]" caption="Year" attribute="1" defaultMemberUniqueName="[Calendar].[Year].[All]" allUniqueName="[Calendar].[Year].[All]" dimensionUniqueName="[Calendar]" displayFolder="" count="2" memberValueDatatype="130" unbalanced="0">
      <fieldsUsage count="2">
        <fieldUsage x="-1"/>
        <fieldUsage x="2"/>
      </fieldsUsage>
    </cacheHierarchy>
    <cacheHierarchy uniqueName="[Calendar].[Year_Month]" caption="Year_Month" attribute="1" time="1" defaultMemberUniqueName="[Calendar].[Year_Month].[All]" allUniqueName="[Calendar].[Year_Month].[All]" dimensionUniqueName="[Calendar]" displayFolder="" count="0" memberValueDatatype="7" unbalanced="0"/>
    <cacheHierarchy uniqueName="[Calendar].[YearEndDate]" caption="YearEndDate" attribute="1" time="1" defaultMemberUniqueName="[Calendar].[YearEndDate].[All]" allUniqueName="[Calendar].[YearEndDate].[All]" dimensionUniqueName="[Calendar]" displayFolder="" count="0" memberValueDatatype="7" unbalanced="0"/>
    <cacheHierarchy uniqueName="[Calendar].[YearStartDate]" caption="YearStartDate" attribute="1" time="1" defaultMemberUniqueName="[Calendar].[YearStartDate].[All]" allUniqueName="[Calendar].[YearStartDate].[All]" dimensionUniqueName="[Calendar]" displayFolder="" count="0" memberValueDatatype="7" unbalanced="0"/>
    <cacheHierarchy uniqueName="[Closing Date].[ClosingDate]" caption="ClosingDate" attribute="1" time="1" defaultMemberUniqueName="[Closing Date].[ClosingDate].[All]" allUniqueName="[Closing Date].[ClosingDate].[All]" dimensionUniqueName="[Closing Date]" displayFolder="" count="0" memberValueDatatype="7" unbalanced="0"/>
    <cacheHierarchy uniqueName="[Closing Date].[Date]" caption="Date" attribute="1" time="1" defaultMemberUniqueName="[Closing Date].[Date].[All]" allUniqueName="[Closing Date].[Date].[All]" dimensionUniqueName="[Closing Date]" displayFolder="" count="0" memberValueDatatype="7" unbalanced="0"/>
    <cacheHierarchy uniqueName="[Closing Date].[Year]" caption="Year" attribute="1" defaultMemberUniqueName="[Closing Date].[Year].[All]" allUniqueName="[Closing Date].[Year].[All]" dimensionUniqueName="[Closing Date]" displayFolder="" count="0" memberValueDatatype="20" unbalanced="0"/>
    <cacheHierarchy uniqueName="[Closing Date].[Year_Month]" caption="Year_Month" attribute="1" time="1" defaultMemberUniqueName="[Closing Date].[Year_Month].[All]" allUniqueName="[Closing Date].[Year_Month].[All]" dimensionUniqueName="[Closing Date]" displayFolder="" count="0" memberValueDatatype="7" unbalanced="0"/>
    <cacheHierarchy uniqueName="[Organisation].[Address Line 1]" caption="Address Line 1" attribute="1" defaultMemberUniqueName="[Organisation].[Address Line 1].[All]" allUniqueName="[Organisation].[Address Line 1].[All]" dimensionUniqueName="[Organisation]" displayFolder="" count="0" memberValueDatatype="130" unbalanced="0"/>
    <cacheHierarchy uniqueName="[Organisation].[AddressLine2]" caption="AddressLine2" attribute="1" defaultMemberUniqueName="[Organisation].[AddressLine2].[All]" allUniqueName="[Organisation].[AddressLine2].[All]" dimensionUniqueName="[Organisation]" displayFolder="" count="0" memberValueDatatype="130" unbalanced="0"/>
    <cacheHierarchy uniqueName="[Organisation].[AddressLine3]" caption="AddressLine3" attribute="1" defaultMemberUniqueName="[Organisation].[AddressLine3].[All]" allUniqueName="[Organisation].[AddressLine3].[All]" dimensionUniqueName="[Organisation]" displayFolder="" count="0" memberValueDatatype="130" unbalanced="0"/>
    <cacheHierarchy uniqueName="[Organisation].[AddressType]" caption="AddressType" attribute="1" defaultMemberUniqueName="[Organisation].[AddressType].[All]" allUniqueName="[Organisation].[AddressType].[All]" dimensionUniqueName="[Organisation]" displayFolder="" count="0" memberValueDatatype="130" unbalanced="0"/>
    <cacheHierarchy uniqueName="[Organisation].[BaseCurrency]" caption="BaseCurrency" attribute="1" defaultMemberUniqueName="[Organisation].[BaseCurrency].[All]" allUniqueName="[Organisation].[BaseCurrency].[All]" dimensionUniqueName="[Organisation]" displayFolder="" count="0" memberValueDatatype="130" unbalanced="0"/>
    <cacheHierarchy uniqueName="[Organisation].[City]" caption="City" attribute="1" defaultMemberUniqueName="[Organisation].[City].[All]" allUniqueName="[Organisation].[City].[All]" dimensionUniqueName="[Organisation]" displayFolder="" count="0" memberValueDatatype="130" unbalanced="0"/>
    <cacheHierarchy uniqueName="[Organisation].[CountryCode]" caption="CountryCode" attribute="1" defaultMemberUniqueName="[Organisation].[CountryCode].[All]" allUniqueName="[Organisation].[CountryCode].[All]" dimensionUniqueName="[Organisation]" displayFolder="" count="0" memberValueDatatype="130" unbalanced="0"/>
    <cacheHierarchy uniqueName="[Organisation].[CreatedDate]" caption="CreatedDate" attribute="1" time="1" defaultMemberUniqueName="[Organisation].[CreatedDate].[All]" allUniqueName="[Organisation].[CreatedDate].[All]" dimensionUniqueName="[Organisation]" displayFolder="" count="0" memberValueDatatype="7" unbalanced="0"/>
    <cacheHierarchy uniqueName="[Organisation].[CreatedDateUTC]" caption="CreatedDateUTC" attribute="1" time="1" defaultMemberUniqueName="[Organisation].[CreatedDateUTC].[All]" allUniqueName="[Organisation].[CreatedDateUTC].[All]" dimensionUniqueName="[Organisation]" displayFolder="" count="0" memberValueDatatype="7" unbalanced="0"/>
    <cacheHierarchy uniqueName="[Organisation].[DefaultPurchasesTax]" caption="DefaultPurchasesTax" attribute="1" defaultMemberUniqueName="[Organisation].[DefaultPurchasesTax].[All]" allUniqueName="[Organisation].[DefaultPurchasesTax].[All]" dimensionUniqueName="[Organisation]" displayFolder="" count="0" memberValueDatatype="130" unbalanced="0"/>
    <cacheHierarchy uniqueName="[Organisation].[DefaultSalesTax]" caption="DefaultSalesTax" attribute="1" defaultMemberUniqueName="[Organisation].[DefaultSalesTax].[All]" allUniqueName="[Organisation].[DefaultSalesTax].[All]" dimensionUniqueName="[Organisation]" displayFolder="" count="0" memberValueDatatype="130" unbalanced="0"/>
    <cacheHierarchy uniqueName="[Organisation].[EndOfYearLockDate]" caption="EndOfYearLockDate" attribute="1" defaultMemberUniqueName="[Organisation].[EndOfYearLockDate].[All]" allUniqueName="[Organisation].[EndOfYearLockDate].[All]" dimensionUniqueName="[Organisation]" displayFolder="" count="0" memberValueDatatype="130" unbalanced="0"/>
    <cacheHierarchy uniqueName="[Organisation].[FinancialYearEndDay]" caption="FinancialYearEndDay" attribute="1" defaultMemberUniqueName="[Organisation].[FinancialYearEndDay].[All]" allUniqueName="[Organisation].[FinancialYearEndDay].[All]" dimensionUniqueName="[Organisation]" displayFolder="" count="0" memberValueDatatype="20" unbalanced="0"/>
    <cacheHierarchy uniqueName="[Organisation].[FinancialYearEndMonth]" caption="FinancialYearEndMonth" attribute="1" defaultMemberUniqueName="[Organisation].[FinancialYearEndMonth].[All]" allUniqueName="[Organisation].[FinancialYearEndMonth].[All]" dimensionUniqueName="[Organisation]" displayFolder="" count="0" memberValueDatatype="20" unbalanced="0"/>
    <cacheHierarchy uniqueName="[Organisation].[LegalName]" caption="LegalName" attribute="1" defaultMemberUniqueName="[Organisation].[LegalName].[All]" allUniqueName="[Organisation].[LegalName].[All]" dimensionUniqueName="[Organisation]" displayFolder="" count="2" memberValueDatatype="130" unbalanced="0">
      <fieldsUsage count="2">
        <fieldUsage x="-1"/>
        <fieldUsage x="1"/>
      </fieldsUsage>
    </cacheHierarchy>
    <cacheHierarchy uniqueName="[Organisation].[LineOfBusiness]" caption="LineOfBusiness" attribute="1" defaultMemberUniqueName="[Organisation].[LineOfBusiness].[All]" allUniqueName="[Organisation].[LineOfBusiness].[All]" dimensionUniqueName="[Organisation]" displayFolder="" count="0" memberValueDatatype="130" unbalanced="0"/>
    <cacheHierarchy uniqueName="[Organisation].[Organisation Name]" caption="Organisation Name" attribute="1" defaultMemberUniqueName="[Organisation].[Organisation Name].[All]" allUniqueName="[Organisation].[Organisation Name].[All]" dimensionUniqueName="[Organisation]" displayFolder="" count="0" memberValueDatatype="130" unbalanced="0"/>
    <cacheHierarchy uniqueName="[Organisation].[Organisation_ID]" caption="Organisation_ID" attribute="1" defaultMemberUniqueName="[Organisation].[Organisation_ID].[All]" allUniqueName="[Organisation].[Organisation_ID].[All]" dimensionUniqueName="[Organisation]" displayFolder="" count="0" memberValueDatatype="20" unbalanced="0"/>
    <cacheHierarchy uniqueName="[Organisation].[OrganisationEntityType]" caption="OrganisationEntityType" attribute="1" defaultMemberUniqueName="[Organisation].[OrganisationEntityType].[All]" allUniqueName="[Organisation].[OrganisationEntityType].[All]" dimensionUniqueName="[Organisation]" displayFolder="" count="0" memberValueDatatype="130" unbalanced="0"/>
    <cacheHierarchy uniqueName="[Organisation].[OrgStatus]" caption="OrgStatus" attribute="1" defaultMemberUniqueName="[Organisation].[OrgStatus].[All]" allUniqueName="[Organisation].[OrgStatus].[All]" dimensionUniqueName="[Organisation]" displayFolder="" count="0" memberValueDatatype="11" unbalanced="0"/>
    <cacheHierarchy uniqueName="[Organisation].[OrgType]" caption="OrgType" attribute="1" defaultMemberUniqueName="[Organisation].[OrgType].[All]" allUniqueName="[Organisation].[OrgType].[All]" dimensionUniqueName="[Organisation]" displayFolder="" count="0" memberValueDatatype="130" unbalanced="0"/>
    <cacheHierarchy uniqueName="[Organisation].[Ownership]" caption="Ownership" attribute="1" defaultMemberUniqueName="[Organisation].[Ownership].[All]" allUniqueName="[Organisation].[Ownership].[All]" dimensionUniqueName="[Organisation]" displayFolder="" count="0" memberValueDatatype="130" unbalanced="0"/>
    <cacheHierarchy uniqueName="[Organisation].[Parent]" caption="Parent" attribute="1" defaultMemberUniqueName="[Organisation].[Parent].[All]" allUniqueName="[Organisation].[Parent].[All]" dimensionUniqueName="[Organisation]" displayFolder="" count="0" memberValueDatatype="130" unbalanced="0"/>
    <cacheHierarchy uniqueName="[Organisation].[PaymentTermSaleType]" caption="PaymentTermSaleType" attribute="1" defaultMemberUniqueName="[Organisation].[PaymentTermSaleType].[All]" allUniqueName="[Organisation].[PaymentTermSaleType].[All]" dimensionUniqueName="[Organisation]" displayFolder="" count="0" memberValueDatatype="130" unbalanced="0"/>
    <cacheHierarchy uniqueName="[Organisation].[PaymentTermsBillDay]" caption="PaymentTermsBillDay" attribute="1" defaultMemberUniqueName="[Organisation].[PaymentTermsBillDay].[All]" allUniqueName="[Organisation].[PaymentTermsBillDay].[All]" dimensionUniqueName="[Organisation]" displayFolder="" count="0" memberValueDatatype="20" unbalanced="0"/>
    <cacheHierarchy uniqueName="[Organisation].[PaymentTermsBillType]" caption="PaymentTermsBillType" attribute="1" defaultMemberUniqueName="[Organisation].[PaymentTermsBillType].[All]" allUniqueName="[Organisation].[PaymentTermsBillType].[All]" dimensionUniqueName="[Organisation]" displayFolder="" count="0" memberValueDatatype="130" unbalanced="0"/>
    <cacheHierarchy uniqueName="[Organisation].[PaymentTermsSaleDay]" caption="PaymentTermsSaleDay" attribute="1" defaultMemberUniqueName="[Organisation].[PaymentTermsSaleDay].[All]" allUniqueName="[Organisation].[PaymentTermsSaleDay].[All]" dimensionUniqueName="[Organisation]" displayFolder="" count="0" memberValueDatatype="20" unbalanced="0"/>
    <cacheHierarchy uniqueName="[Organisation].[PaysTax]" caption="PaysTax" attribute="1" defaultMemberUniqueName="[Organisation].[PaysTax].[All]" allUniqueName="[Organisation].[PaysTax].[All]" dimensionUniqueName="[Organisation]" displayFolder="" count="0" memberValueDatatype="11" unbalanced="0"/>
    <cacheHierarchy uniqueName="[Organisation].[PeriodLockDate]" caption="PeriodLockDate" attribute="1" time="1" defaultMemberUniqueName="[Organisation].[PeriodLockDate].[All]" allUniqueName="[Organisation].[PeriodLockDate].[All]" dimensionUniqueName="[Organisation]" displayFolder="" count="0" memberValueDatatype="7" unbalanced="0"/>
    <cacheHierarchy uniqueName="[Organisation].[PhoneAreaCode]" caption="PhoneAreaCode" attribute="1" defaultMemberUniqueName="[Organisation].[PhoneAreaCode].[All]" allUniqueName="[Organisation].[PhoneAreaCode].[All]" dimensionUniqueName="[Organisation]" displayFolder="" count="0" memberValueDatatype="20" unbalanced="0"/>
    <cacheHierarchy uniqueName="[Organisation].[PhoneCountryCode]" caption="PhoneCountryCode" attribute="1" defaultMemberUniqueName="[Organisation].[PhoneCountryCode].[All]" allUniqueName="[Organisation].[PhoneCountryCode].[All]" dimensionUniqueName="[Organisation]" displayFolder="" count="0" memberValueDatatype="130" unbalanced="0"/>
    <cacheHierarchy uniqueName="[Organisation].[PhoneNumber]" caption="PhoneNumber" attribute="1" defaultMemberUniqueName="[Organisation].[PhoneNumber].[All]" allUniqueName="[Organisation].[PhoneNumber].[All]" dimensionUniqueName="[Organisation]" displayFolder="" count="0" memberValueDatatype="130" unbalanced="0"/>
    <cacheHierarchy uniqueName="[Organisation].[PhoneType]" caption="PhoneType" attribute="1" defaultMemberUniqueName="[Organisation].[PhoneType].[All]" allUniqueName="[Organisation].[PhoneType].[All]" dimensionUniqueName="[Organisation]" displayFolder="" count="0" memberValueDatatype="130" unbalanced="0"/>
    <cacheHierarchy uniqueName="[Organisation].[PostalCode]" caption="PostalCode" attribute="1" defaultMemberUniqueName="[Organisation].[PostalCode].[All]" allUniqueName="[Organisation].[PostalCode].[All]" dimensionUniqueName="[Organisation]" displayFolder="" count="0" memberValueDatatype="130" unbalanced="0"/>
    <cacheHierarchy uniqueName="[Organisation].[RegistrationNumber]" caption="RegistrationNumber" attribute="1" defaultMemberUniqueName="[Organisation].[RegistrationNumber].[All]" allUniqueName="[Organisation].[RegistrationNumber].[All]" dimensionUniqueName="[Organisation]" displayFolder="" count="0" memberValueDatatype="20" unbalanced="0"/>
    <cacheHierarchy uniqueName="[Organisation].[SalesTaxBasisType]" caption="SalesTaxBasisType" attribute="1" defaultMemberUniqueName="[Organisation].[SalesTaxBasisType].[All]" allUniqueName="[Organisation].[SalesTaxBasisType].[All]" dimensionUniqueName="[Organisation]" displayFolder="" count="0" memberValueDatatype="130" unbalanced="0"/>
    <cacheHierarchy uniqueName="[Organisation].[SalestaxPeriod]" caption="SalestaxPeriod" attribute="1" defaultMemberUniqueName="[Organisation].[SalestaxPeriod].[All]" allUniqueName="[Organisation].[SalestaxPeriod].[All]" dimensionUniqueName="[Organisation]" displayFolder="" count="0" memberValueDatatype="130" unbalanced="0"/>
    <cacheHierarchy uniqueName="[Organisation].[TaxNumber]" caption="TaxNumber" attribute="1" defaultMemberUniqueName="[Organisation].[TaxNumber].[All]" allUniqueName="[Organisation].[TaxNumber].[All]" dimensionUniqueName="[Organisation]" displayFolder="" count="0" memberValueDatatype="130" unbalanced="0"/>
    <cacheHierarchy uniqueName="[Organisation].[Timezone]" caption="Timezone" attribute="1" defaultMemberUniqueName="[Organisation].[Timezone].[All]" allUniqueName="[Organisation].[Timezone].[All]" dimensionUniqueName="[Organisation]" displayFolder="" count="0" memberValueDatatype="130" unbalanced="0"/>
    <cacheHierarchy uniqueName="[Organisation].[Version]" caption="Version" attribute="1" defaultMemberUniqueName="[Organisation].[Version].[All]" allUniqueName="[Organisation].[Version].[All]" dimensionUniqueName="[Organisation]" displayFolder="" count="0" memberValueDatatype="130" unbalanced="0"/>
    <cacheHierarchy uniqueName="[Report Structure].[CalcType]" caption="CalcType" attribute="1" defaultMemberUniqueName="[Report Structure].[CalcType].[All]" allUniqueName="[Report Structure].[CalcType].[All]" dimensionUniqueName="[Report Structure]" displayFolder="" count="0" memberValueDatatype="130" unbalanced="0"/>
    <cacheHierarchy uniqueName="[Report Structure].[Header]" caption="Header" attribute="1" defaultMemberUniqueName="[Report Structure].[Header].[All]" allUniqueName="[Report Structure].[Header].[All]" dimensionUniqueName="[Report Structure]" displayFolder="" count="0" memberValueDatatype="130" unbalanced="0"/>
    <cacheHierarchy uniqueName="[Report Structure].[Order]" caption="Order" attribute="1" defaultMemberUniqueName="[Report Structure].[Order].[All]" allUniqueName="[Report Structure].[Order].[All]" dimensionUniqueName="[Report Structure]" displayFolder="" count="0" memberValueDatatype="20" unbalanced="0"/>
    <cacheHierarchy uniqueName="[Report Structure].[Statement]" caption="Statement" attribute="1" defaultMemberUniqueName="[Report Structure].[Statement].[All]" allUniqueName="[Report Structure].[Statement].[All]" dimensionUniqueName="[Report Structure]" displayFolder="" count="0" memberValueDatatype="130" unbalanced="0"/>
    <cacheHierarchy uniqueName="[Scenario].[Scenario]" caption="Scenario" attribute="1" defaultMemberUniqueName="[Scenario].[Scenario].[All]" allUniqueName="[Scenario].[Scenario].[All]" dimensionUniqueName="[Scenario]" displayFolder="" count="0" memberValueDatatype="130" unbalanced="0"/>
    <cacheHierarchy uniqueName="[Transactions].[Account_ID]" caption="Account_ID" attribute="1" defaultMemberUniqueName="[Transactions].[Account_ID].[All]" allUniqueName="[Transactions].[Account_ID].[All]" dimensionUniqueName="[Transactions]" displayFolder="" count="0" memberValueDatatype="130" unbalanced="0"/>
    <cacheHierarchy uniqueName="[Transactions].[AccountClass]" caption="AccountClass" attribute="1" defaultMemberUniqueName="[Transactions].[AccountClass].[All]" allUniqueName="[Transactions].[AccountClass].[All]" dimensionUniqueName="[Transactions]" displayFolder="" count="0" memberValueDatatype="130" unbalanced="0"/>
    <cacheHierarchy uniqueName="[Transactions].[AccountCode]" caption="AccountCode" attribute="1" defaultMemberUniqueName="[Transactions].[AccountCode].[All]" allUniqueName="[Transactions].[AccountCode].[All]" dimensionUniqueName="[Transactions]" displayFolder="" count="0" memberValueDatatype="20" unbalanced="0"/>
    <cacheHierarchy uniqueName="[Transactions].[Balance]" caption="Balance" attribute="1" defaultMemberUniqueName="[Transactions].[Balance].[All]" allUniqueName="[Transactions].[Balance].[All]" dimensionUniqueName="[Transactions]" displayFolder="" count="0" memberValueDatatype="5" unbalanced="0"/>
    <cacheHierarchy uniqueName="[Transactions].[BaseCurrency]" caption="BaseCurrency" attribute="1" defaultMemberUniqueName="[Transactions].[BaseCurrency].[All]" allUniqueName="[Transactions].[BaseCurrency].[All]" dimensionUniqueName="[Transactions]" displayFolder="" count="0" memberValueDatatype="130" unbalanced="0"/>
    <cacheHierarchy uniqueName="[Transactions].[CreatedOrUpdatedDateUTC]" caption="CreatedOrUpdatedDateUTC" attribute="1" time="1" defaultMemberUniqueName="[Transactions].[CreatedOrUpdatedDateUTC].[All]" allUniqueName="[Transactions].[CreatedOrUpdatedDateUTC].[All]" dimensionUniqueName="[Transactions]" displayFolder="" count="0" memberValueDatatype="7" unbalanced="0"/>
    <cacheHierarchy uniqueName="[Transactions].[Date]" caption="Date" attribute="1" time="1" defaultMemberUniqueName="[Transactions].[Date].[All]" allUniqueName="[Transactions].[Date].[All]" dimensionUniqueName="[Transactions]" displayFolder="" count="0" memberValueDatatype="7" unbalanced="0"/>
    <cacheHierarchy uniqueName="[Transactions].[GrossAmt_GC]" caption="GrossAmt_GC" attribute="1" defaultMemberUniqueName="[Transactions].[GrossAmt_GC].[All]" allUniqueName="[Transactions].[GrossAmt_GC].[All]" dimensionUniqueName="[Transactions]" displayFolder="" count="0" memberValueDatatype="5" unbalanced="0"/>
    <cacheHierarchy uniqueName="[Transactions].[GrossAmt_LC]" caption="GrossAmt_LC" attribute="1" defaultMemberUniqueName="[Transactions].[GrossAmt_LC].[All]" allUniqueName="[Transactions].[GrossAmt_LC].[All]" dimensionUniqueName="[Transactions]" displayFolder="" count="0" memberValueDatatype="5" unbalanced="0"/>
    <cacheHierarchy uniqueName="[Transactions].[Group_FXRate]" caption="Group_FXRate" attribute="1" defaultMemberUniqueName="[Transactions].[Group_FXRate].[All]" allUniqueName="[Transactions].[Group_FXRate].[All]" dimensionUniqueName="[Transactions]" displayFolder="" count="0" memberValueDatatype="20" unbalanced="0"/>
    <cacheHierarchy uniqueName="[Transactions].[JID]" caption="JID" attribute="1" defaultMemberUniqueName="[Transactions].[JID].[All]" allUniqueName="[Transactions].[JID].[All]" dimensionUniqueName="[Transactions]" displayFolder="" count="0" memberValueDatatype="130" unbalanced="0"/>
    <cacheHierarchy uniqueName="[Transactions].[Month]" caption="Month" attribute="1" defaultMemberUniqueName="[Transactions].[Month].[All]" allUniqueName="[Transactions].[Month].[All]" dimensionUniqueName="[Transactions]" displayFolder="" count="0" memberValueDatatype="130" unbalanced="0"/>
    <cacheHierarchy uniqueName="[Transactions].[Months]" caption="Months" attribute="1" defaultMemberUniqueName="[Transactions].[Months].[All]" allUniqueName="[Transactions].[Months].[All]" dimensionUniqueName="[Transactions]" displayFolder="" count="0" memberValueDatatype="130" unbalanced="0"/>
    <cacheHierarchy uniqueName="[Transactions].[NetAmount_GC]" caption="NetAmount_GC" attribute="1" defaultMemberUniqueName="[Transactions].[NetAmount_GC].[All]" allUniqueName="[Transactions].[NetAmount_GC].[All]" dimensionUniqueName="[Transactions]" displayFolder="" count="0" memberValueDatatype="5" unbalanced="0"/>
    <cacheHierarchy uniqueName="[Transactions].[NetAmount_LC]" caption="NetAmount_LC" attribute="1" defaultMemberUniqueName="[Transactions].[NetAmount_LC].[All]" allUniqueName="[Transactions].[NetAmount_LC].[All]" dimensionUniqueName="[Transactions]" displayFolder="" count="0" memberValueDatatype="5" unbalanced="0"/>
    <cacheHierarchy uniqueName="[Transactions].[Organisation_ID]" caption="Organisation_ID" attribute="1" defaultMemberUniqueName="[Transactions].[Organisation_ID].[All]" allUniqueName="[Transactions].[Organisation_ID].[All]" dimensionUniqueName="[Transactions]" displayFolder="" count="0" memberValueDatatype="130" unbalanced="0"/>
    <cacheHierarchy uniqueName="[Transactions].[Reference]" caption="Reference" attribute="1" defaultMemberUniqueName="[Transactions].[Reference].[All]" allUniqueName="[Transactions].[Reference].[All]" dimensionUniqueName="[Transactions]" displayFolder="" count="0" memberValueDatatype="130" unbalanced="0"/>
    <cacheHierarchy uniqueName="[Transactions].[Scenario]" caption="Scenario" attribute="1" defaultMemberUniqueName="[Transactions].[Scenario].[All]" allUniqueName="[Transactions].[Scenario].[All]" dimensionUniqueName="[Transactions]" displayFolder="" count="0" memberValueDatatype="130" unbalanced="0"/>
    <cacheHierarchy uniqueName="[Transactions].[TaxName]" caption="TaxName" attribute="1" defaultMemberUniqueName="[Transactions].[TaxName].[All]" allUniqueName="[Transactions].[TaxName].[All]" dimensionUniqueName="[Transactions]" displayFolder="" count="0" memberValueDatatype="130" unbalanced="0"/>
    <cacheHierarchy uniqueName="[Transactions].[TaxType]" caption="TaxType" attribute="1" defaultMemberUniqueName="[Transactions].[TaxType].[All]" allUniqueName="[Transactions].[TaxType].[All]" dimensionUniqueName="[Transactions]" displayFolder="" count="0" memberValueDatatype="130" unbalanced="0"/>
    <cacheHierarchy uniqueName="[Transactions].[Years]" caption="Years" attribute="1" defaultMemberUniqueName="[Transactions].[Years].[All]" allUniqueName="[Transactions].[Years].[All]" dimensionUniqueName="[Transactions]" displayFolder="" count="0" memberValueDatatype="130" unbalanced="0"/>
    <cacheHierarchy uniqueName="[Measures].[Filtered]" caption="Filtered" measure="1" displayFolder="" measureGroup="Accounts" count="0"/>
    <cacheHierarchy uniqueName="[Measures].[Total Revenue]" caption="Total Revenue" measure="1" displayFolder="" measureGroup="Transactions" count="0"/>
    <cacheHierarchy uniqueName="[Measures].[%Sales]" caption="%Sales" measure="1" displayFolder="" measureGroup="Transactions" count="0"/>
    <cacheHierarchy uniqueName="[Measures].[ACT]" caption="ACT" measure="1" displayFolder="" measureGroup="Transactions" count="0"/>
    <cacheHierarchy uniqueName="[Measures].[VAR]" caption="VAR" measure="1" displayFolder="" measureGroup="Transactions" count="0"/>
    <cacheHierarchy uniqueName="[Measures].[VAR %]" caption="VAR %" measure="1" displayFolder="" measureGroup="Transactions" count="0"/>
    <cacheHierarchy uniqueName="[Measures].[PY ACT]" caption="PY ACT" measure="1" displayFolder="" measureGroup="Transactions" count="0"/>
    <cacheHierarchy uniqueName="[Measures].[YTD ACT]" caption="YTD ACT" measure="1" displayFolder="" measureGroup="Transactions" count="0"/>
    <cacheHierarchy uniqueName="[Measures].[Running Total]" caption="Running Total" measure="1" displayFolder="" measureGroup="Transactions" count="0"/>
    <cacheHierarchy uniqueName="[Measures].[Report Value]" caption="Report Value" measure="1" displayFolder="" measureGroup="Transactions" count="0"/>
    <cacheHierarchy uniqueName="[Measures].[Balance sheet]" caption="Balance sheet" measure="1" displayFolder="" measureGroup="Transactions" count="0"/>
    <cacheHierarchy uniqueName="[Measures].[showYear]" caption="showYear" measure="1" displayFolder="" measureGroup="Transactions" count="0"/>
    <cacheHierarchy uniqueName="[Measures].[BUD]" caption="BUD" measure="1" displayFolder="" measureGroup="Transactions" count="0"/>
    <cacheHierarchy uniqueName="[Measures].[Asymmetric]" caption="Asymmetric" measure="1" displayFolder="" measureGroup="Transactions" count="0"/>
    <cacheHierarchy uniqueName="[Measures].[Rolling Forecast]" caption="Rolling Forecast" measure="1" displayFolder="" measureGroup="Transactions" count="0"/>
    <cacheHierarchy uniqueName="[Measures].[DAX ACT ex Calender]" caption="DAX ACT ex Calender" measure="1" displayFolder="" measureGroup="Transactions" count="0"/>
    <cacheHierarchy uniqueName="[Measures].[Header Order]" caption="Header Order" measure="1" displayFolder="" measureGroup="Report Structure" count="0"/>
    <cacheHierarchy uniqueName="[Measures].[__Default measure]" caption="__Default measure" measure="1" displayFolder="" count="0" hidden="1"/>
  </cacheHierarchies>
  <kpis count="0"/>
  <dimensions count="10">
    <dimension name="Accounts" uniqueName="[Accounts]" caption="Accounts"/>
    <dimension name="Asymmetric" uniqueName="[Asymmetric]" caption="Asymmetric"/>
    <dimension name="Budget" uniqueName="[Budget]" caption="Budget"/>
    <dimension name="Calendar" uniqueName="[Calendar]" caption="Calendar"/>
    <dimension name="Closing Date" uniqueName="[Closing Date]" caption="Closing Date"/>
    <dimension measure="1" name="Measures" uniqueName="[Measures]" caption="Measures"/>
    <dimension name="Organisation" uniqueName="[Organisation]" caption="Organisation"/>
    <dimension name="Report Structure" uniqueName="[Report Structure]" caption="Report Structure"/>
    <dimension name="Scenario" uniqueName="[Scenario]" caption="Scenario"/>
    <dimension name="Transactions" uniqueName="[Transactions]" caption="Transactions"/>
  </dimensions>
  <measureGroups count="9">
    <measureGroup name="Accounts" caption="Accounts"/>
    <measureGroup name="Asymmetric" caption="Asymmetric"/>
    <measureGroup name="Budget" caption="Budget"/>
    <measureGroup name="Calendar" caption="Calendar"/>
    <measureGroup name="Closing Date" caption="Closing Date"/>
    <measureGroup name="Organisation" caption="Organisation"/>
    <measureGroup name="Report Structure" caption="Report Structure"/>
    <measureGroup name="Scenario" caption="Scenario"/>
    <measureGroup name="Transactions" caption="Transactions"/>
  </measureGroups>
  <maps count="20">
    <map measureGroup="0" dimension="0"/>
    <map measureGroup="0" dimension="7"/>
    <map measureGroup="1" dimension="1"/>
    <map measureGroup="2" dimension="0"/>
    <map measureGroup="2" dimension="2"/>
    <map measureGroup="2" dimension="3"/>
    <map measureGroup="2" dimension="6"/>
    <map measureGroup="2" dimension="7"/>
    <map measureGroup="3" dimension="3"/>
    <map measureGroup="4" dimension="4"/>
    <map measureGroup="5" dimension="6"/>
    <map measureGroup="6" dimension="7"/>
    <map measureGroup="7" dimension="8"/>
    <map measureGroup="8" dimension="0"/>
    <map measureGroup="8" dimension="1"/>
    <map measureGroup="8" dimension="3"/>
    <map measureGroup="8" dimension="6"/>
    <map measureGroup="8" dimension="7"/>
    <map measureGroup="8" dimension="8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Martin Kratky" refreshedDate="45956.37535509259" createdVersion="6" refreshedVersion="8" minRefreshableVersion="3" recordCount="0" supportSubquery="1" supportAdvancedDrill="1" xr:uid="{863181D4-5F8D-4D9D-89E0-BCB9757BEECC}">
  <cacheSource type="external" connectionId="1"/>
  <cacheFields count="8">
    <cacheField name="[Accounts].[Type].[Type]" caption="Type" numFmtId="0" hierarchy="17" level="1">
      <sharedItems count="4">
        <s v="[Accounts].[Type].&amp;[Revenue]" c="Revenue"/>
        <s v="[Accounts].[Type].&amp;[DirectCosts]" c="DirectCosts"/>
        <s v="[Accounts].[Type].&amp;[Expense]" c="Expense"/>
        <s v="[Accounts].[Type].&amp;[Overheads]" c="Overheads"/>
      </sharedItems>
    </cacheField>
    <cacheField name="[Accounts].[Name].[Name]" caption="Name" numFmtId="0" hierarchy="11" level="1">
      <sharedItems count="21">
        <s v="[Accounts].[Name].&amp;[Intercompany Revenue]" c="Intercompany Revenue"/>
        <s v="[Accounts].[Name].&amp;[Sales]" c="Sales"/>
        <s v="[Accounts].[Name].&amp;[Cost of Goods Sold]" c="Cost of Goods Sold"/>
        <s v="[Accounts].[Name].&amp;[Purchases]" c="Purchases"/>
        <s v="[Accounts].[Name].&amp;[Advertising]" c="Advertising"/>
        <s v="[Accounts].[Name].&amp;[Bank Fees]" c="Bank Fees"/>
        <s v="[Accounts].[Name].&amp;[Cleaning]" c="Cleaning"/>
        <s v="[Accounts].[Name].&amp;[Consulting &amp; Accounting]" c="Consulting &amp; Accounting"/>
        <s v="[Accounts].[Name].&amp;[Dues &amp; Subscriptions]" c="Dues &amp; Subscriptions"/>
        <s v="[Accounts].[Name].&amp;[Entertainment]" c="Entertainment"/>
        <s v="[Accounts].[Name].&amp;[Freight &amp; Courier]" c="Freight &amp; Courier"/>
        <s v="[Accounts].[Name].&amp;[General Expenses]" c="General Expenses"/>
        <s v="[Accounts].[Name].&amp;[Light, Power, Heating]" c="Light, Power, Heating"/>
        <s v="[Accounts].[Name].&amp;[Motor Vehicle Expenses]" c="Motor Vehicle Expenses"/>
        <s v="[Accounts].[Name].&amp;[Office Expenses]" c="Office Expenses"/>
        <s v="[Accounts].[Name].&amp;[Payroll Tax Expense]" c="Payroll Tax Expense"/>
        <s v="[Accounts].[Name].&amp;[Printing &amp; Stationery]" c="Printing &amp; Stationery"/>
        <s v="[Accounts].[Name].&amp;[Rent]" c="Rent"/>
        <s v="[Accounts].[Name].&amp;[Repairs and Maintenance]" c="Repairs and Maintenance"/>
        <s v="[Accounts].[Name].&amp;[Telephone &amp; Internet]" c="Telephone &amp; Internet"/>
        <s v="[Accounts].[Name].&amp;[Travel - National]" c="Travel - National"/>
      </sharedItems>
    </cacheField>
    <cacheField name="[Measures].[ACT]" caption="ACT" numFmtId="0" hierarchy="122" level="32767"/>
    <cacheField name="[Measures].[BUD]" caption="BUD" numFmtId="0" hierarchy="131" level="32767"/>
    <cacheField name="[Accounts].[Statement].[Statement]" caption="Statement" numFmtId="0" hierarchy="15" level="1">
      <sharedItems containsSemiMixedTypes="0" containsString="0"/>
    </cacheField>
    <cacheField name="[Organisation].[LegalName].[LegalName]" caption="LegalName" numFmtId="0" hierarchy="67" level="1">
      <sharedItems containsSemiMixedTypes="0" containsString="0"/>
    </cacheField>
    <cacheField name="[Calendar].[Year].[Year]" caption="Year" numFmtId="0" hierarchy="45" level="1">
      <sharedItems containsSemiMixedTypes="0" containsString="0"/>
    </cacheField>
    <cacheField name="[Calendar].[Year_Month].[Year_Month]" caption="Year_Month" numFmtId="0" hierarchy="46" level="1">
      <sharedItems count="12">
        <s v="[Calendar].[Year_Month].&amp;[2021-01-01T00:00:00]" c="2021-01"/>
        <s v="[Calendar].[Year_Month].&amp;[2021-02-01T00:00:00]" c="2021-02"/>
        <s v="[Calendar].[Year_Month].&amp;[2021-03-01T00:00:00]" c="2021-03"/>
        <s v="[Calendar].[Year_Month].&amp;[2021-04-01T00:00:00]" c="2021-04"/>
        <s v="[Calendar].[Year_Month].&amp;[2021-05-01T00:00:00]" c="2021-05"/>
        <s v="[Calendar].[Year_Month].&amp;[2021-06-01T00:00:00]" c="2021-06"/>
        <s v="[Calendar].[Year_Month].&amp;[2021-07-01T00:00:00]" c="2021-07"/>
        <s v="[Calendar].[Year_Month].&amp;[2021-08-01T00:00:00]" c="2021-08"/>
        <s v="[Calendar].[Year_Month].&amp;[2021-09-01T00:00:00]" c="2021-09"/>
        <s v="[Calendar].[Year_Month].&amp;[2021-10-01T00:00:00]" c="2021-10"/>
        <s v="[Calendar].[Year_Month].&amp;[2021-11-01T00:00:00]" c="2021-11"/>
        <s v="[Calendar].[Year_Month].&amp;[2021-12-01T00:00:00]" c="2021-12"/>
      </sharedItems>
    </cacheField>
  </cacheFields>
  <cacheHierarchies count="137">
    <cacheHierarchy uniqueName="[Accounts].[Account key]" caption="Account key" attribute="1" defaultMemberUniqueName="[Accounts].[Account key].[All]" allUniqueName="[Accounts].[Account key].[All]" dimensionUniqueName="[Accounts]" displayFolder="" count="0" memberValueDatatype="130" unbalanced="0"/>
    <cacheHierarchy uniqueName="[Accounts].[Account_ID]" caption="Account_ID" attribute="1" defaultMemberUniqueName="[Accounts].[Account_ID].[All]" allUniqueName="[Accounts].[Account_ID].[All]" dimensionUniqueName="[Accounts]" displayFolder="" count="0" memberValueDatatype="20" unbalanced="0"/>
    <cacheHierarchy uniqueName="[Accounts].[BankAccountNumber]" caption="BankAccountNumber" attribute="1" defaultMemberUniqueName="[Accounts].[BankAccountNumber].[All]" allUniqueName="[Accounts].[BankAccountNumber].[All]" dimensionUniqueName="[Accounts]" displayFolder="" count="0" memberValueDatatype="130" unbalanced="0"/>
    <cacheHierarchy uniqueName="[Accounts].[Cash Flow ]" caption="Cash Flow " attribute="1" defaultMemberUniqueName="[Accounts].[Cash Flow ].[All]" allUniqueName="[Accounts].[Cash Flow ].[All]" dimensionUniqueName="[Accounts]" displayFolder="" count="0" memberValueDatatype="130" unbalanced="0"/>
    <cacheHierarchy uniqueName="[Accounts].[Cash Flow Group]" caption="Cash Flow Group" attribute="1" defaultMemberUniqueName="[Accounts].[Cash Flow Group].[All]" allUniqueName="[Accounts].[Cash Flow Group].[All]" dimensionUniqueName="[Accounts]" displayFolder="" count="0" memberValueDatatype="130" unbalanced="0"/>
    <cacheHierarchy uniqueName="[Accounts].[Class]" caption="Class" attribute="1" defaultMemberUniqueName="[Accounts].[Class].[All]" allUniqueName="[Accounts].[Class].[All]" dimensionUniqueName="[Accounts]" displayFolder="" count="0" memberValueDatatype="130" unbalanced="0"/>
    <cacheHierarchy uniqueName="[Accounts].[Code]" caption="Code" attribute="1" defaultMemberUniqueName="[Accounts].[Code].[All]" allUniqueName="[Accounts].[Code].[All]" dimensionUniqueName="[Accounts]" displayFolder="" count="0" memberValueDatatype="20" unbalanced="0"/>
    <cacheHierarchy uniqueName="[Accounts].[CurrencyCode]" caption="CurrencyCode" attribute="1" defaultMemberUniqueName="[Accounts].[CurrencyCode].[All]" allUniqueName="[Accounts].[CurrencyCode].[All]" dimensionUniqueName="[Accounts]" displayFolder="" count="0" memberValueDatatype="130" unbalanced="0"/>
    <cacheHierarchy uniqueName="[Accounts].[Description]" caption="Description" attribute="1" defaultMemberUniqueName="[Accounts].[Description].[All]" allUniqueName="[Accounts].[Description].[All]" dimensionUniqueName="[Accounts]" displayFolder="" count="0" memberValueDatatype="130" unbalanced="0"/>
    <cacheHierarchy uniqueName="[Accounts].[FX Conversion]" caption="FX Conversion" attribute="1" defaultMemberUniqueName="[Accounts].[FX Conversion].[All]" allUniqueName="[Accounts].[FX Conversion].[All]" dimensionUniqueName="[Accounts]" displayFolder="" count="0" memberValueDatatype="130" unbalanced="0"/>
    <cacheHierarchy uniqueName="[Accounts].[IC]" caption="IC" attribute="1" defaultMemberUniqueName="[Accounts].[IC].[All]" allUniqueName="[Accounts].[IC].[All]" dimensionUniqueName="[Accounts]" displayFolder="" count="0" memberValueDatatype="130" unbalanced="0"/>
    <cacheHierarchy uniqueName="[Accounts].[Name]" caption="Name" attribute="1" defaultMemberUniqueName="[Accounts].[Name].[All]" allUniqueName="[Accounts].[Name].[All]" dimensionUniqueName="[Accounts]" displayFolder="" count="2" memberValueDatatype="130" unbalanced="0">
      <fieldsUsage count="2">
        <fieldUsage x="-1"/>
        <fieldUsage x="1"/>
      </fieldsUsage>
    </cacheHierarchy>
    <cacheHierarchy uniqueName="[Accounts].[OrgName]" caption="OrgName" attribute="1" defaultMemberUniqueName="[Accounts].[OrgName].[All]" allUniqueName="[Accounts].[OrgName].[All]" dimensionUniqueName="[Accounts]" displayFolder="" count="0" memberValueDatatype="130" unbalanced="0"/>
    <cacheHierarchy uniqueName="[Accounts].[ReportingCode]" caption="ReportingCode" attribute="1" defaultMemberUniqueName="[Accounts].[ReportingCode].[All]" allUniqueName="[Accounts].[ReportingCode].[All]" dimensionUniqueName="[Accounts]" displayFolder="" count="0" memberValueDatatype="130" unbalanced="0"/>
    <cacheHierarchy uniqueName="[Accounts].[ReportingCodeName]" caption="ReportingCodeName" attribute="1" defaultMemberUniqueName="[Accounts].[ReportingCodeName].[All]" allUniqueName="[Accounts].[ReportingCodeName].[All]" dimensionUniqueName="[Accounts]" displayFolder="" count="0" memberValueDatatype="130" unbalanced="0"/>
    <cacheHierarchy uniqueName="[Accounts].[Statement]" caption="Statement" attribute="1" defaultMemberUniqueName="[Accounts].[Statement].[All]" allUniqueName="[Accounts].[Statement].[All]" dimensionUniqueName="[Accounts]" displayFolder="" count="2" memberValueDatatype="130" unbalanced="0">
      <fieldsUsage count="2">
        <fieldUsage x="-1"/>
        <fieldUsage x="4"/>
      </fieldsUsage>
    </cacheHierarchy>
    <cacheHierarchy uniqueName="[Accounts].[Status]" caption="Status" attribute="1" defaultMemberUniqueName="[Accounts].[Status].[All]" allUniqueName="[Accounts].[Status].[All]" dimensionUniqueName="[Accounts]" displayFolder="" count="0" memberValueDatatype="130" unbalanced="0"/>
    <cacheHierarchy uniqueName="[Accounts].[Type]" caption="Type" attribute="1" defaultMemberUniqueName="[Accounts].[Type].[All]" allUniqueName="[Accounts].[Type].[All]" dimensionUniqueName="[Accounts]" displayFolder="" count="2" memberValueDatatype="130" unbalanced="0">
      <fieldsUsage count="2">
        <fieldUsage x="-1"/>
        <fieldUsage x="0"/>
      </fieldsUsage>
    </cacheHierarchy>
    <cacheHierarchy uniqueName="[Accounts].[Type Order]" caption="Type Order" attribute="1" defaultMemberUniqueName="[Accounts].[Type Order].[All]" allUniqueName="[Accounts].[Type Order].[All]" dimensionUniqueName="[Accounts]" displayFolder="" count="0" memberValueDatatype="20" unbalanced="0"/>
    <cacheHierarchy uniqueName="[Asymmetric].[Order]" caption="Order" attribute="1" defaultMemberUniqueName="[Asymmetric].[Order].[All]" allUniqueName="[Asymmetric].[Order].[All]" dimensionUniqueName="[Asymmetric]" displayFolder="" count="0" memberValueDatatype="130" unbalanced="0"/>
    <cacheHierarchy uniqueName="[Asymmetric].[Report Year]" caption="Report Year" attribute="1" defaultMemberUniqueName="[Asymmetric].[Report Year].[All]" allUniqueName="[Asymmetric].[Report Year].[All]" dimensionUniqueName="[Asymmetric]" displayFolder="" count="0" memberValueDatatype="130" unbalanced="0"/>
    <cacheHierarchy uniqueName="[Asymmetric].[Scenario]" caption="Scenario" attribute="1" defaultMemberUniqueName="[Asymmetric].[Scenario].[All]" allUniqueName="[Asymmetric].[Scenario].[All]" dimensionUniqueName="[Asymmetric]" displayFolder="" count="0" memberValueDatatype="130" unbalanced="0"/>
    <cacheHierarchy uniqueName="[Budget].[Account_ID]" caption="Account_ID" attribute="1" defaultMemberUniqueName="[Budget].[Account_ID].[All]" allUniqueName="[Budget].[Account_ID].[All]" dimensionUniqueName="[Budget]" displayFolder="" count="0" memberValueDatatype="130" unbalanced="0"/>
    <cacheHierarchy uniqueName="[Budget].[AccountClass]" caption="AccountClass" attribute="1" defaultMemberUniqueName="[Budget].[AccountClass].[All]" allUniqueName="[Budget].[AccountClass].[All]" dimensionUniqueName="[Budget]" displayFolder="" count="0" memberValueDatatype="130" unbalanced="0"/>
    <cacheHierarchy uniqueName="[Budget].[Date]" caption="Date" attribute="1" time="1" defaultMemberUniqueName="[Budget].[Date].[All]" allUniqueName="[Budget].[Date].[All]" dimensionUniqueName="[Budget]" displayFolder="" count="0" memberValueDatatype="7" unbalanced="0"/>
    <cacheHierarchy uniqueName="[Budget].[Month]" caption="Month" attribute="1" defaultMemberUniqueName="[Budget].[Month].[All]" allUniqueName="[Budget].[Month].[All]" dimensionUniqueName="[Budget]" displayFolder="" count="0" memberValueDatatype="130" unbalanced="0"/>
    <cacheHierarchy uniqueName="[Budget].[NetAmount_GC]" caption="NetAmount_GC" attribute="1" defaultMemberUniqueName="[Budget].[NetAmount_GC].[All]" allUniqueName="[Budget].[NetAmount_GC].[All]" dimensionUniqueName="[Budget]" displayFolder="" count="0" memberValueDatatype="5" unbalanced="0"/>
    <cacheHierarchy uniqueName="[Budget].[NetAmount_LC]" caption="NetAmount_LC" attribute="1" defaultMemberUniqueName="[Budget].[NetAmount_LC].[All]" allUniqueName="[Budget].[NetAmount_LC].[All]" dimensionUniqueName="[Budget]" displayFolder="" count="0" memberValueDatatype="5" unbalanced="0"/>
    <cacheHierarchy uniqueName="[Budget].[Organisation_ID]" caption="Organisation_ID" attribute="1" defaultMemberUniqueName="[Budget].[Organisation_ID].[All]" allUniqueName="[Budget].[Organisation_ID].[All]" dimensionUniqueName="[Budget]" displayFolder="" count="0" memberValueDatatype="130" unbalanced="0"/>
    <cacheHierarchy uniqueName="[Budget].[Scenario]" caption="Scenario" attribute="1" defaultMemberUniqueName="[Budget].[Scenario].[All]" allUniqueName="[Budget].[Scenario].[All]" dimensionUniqueName="[Budget]" displayFolder="" count="0" memberValueDatatype="130" unbalanced="0"/>
    <cacheHierarchy uniqueName="[Budget].[Years]" caption="Years" attribute="1" defaultMemberUniqueName="[Budget].[Years].[All]" allUniqueName="[Budget].[Years].[All]" dimensionUniqueName="[Budget]" displayFolder="" count="0" memberValueDatatype="130" unbalanced="0"/>
    <cacheHierarchy uniqueName="[Calendar].[Date]" caption="Date" attribute="1" time="1" defaultMemberUniqueName="[Calendar].[Date].[All]" allUniqueName="[Calendar].[Date].[All]" dimensionUniqueName="[Calendar]" displayFolder="" count="0" memberValueDatatype="7" unbalanced="0"/>
    <cacheHierarchy uniqueName="[Calendar].[Day]" caption="Day" attribute="1" defaultMemberUniqueName="[Calendar].[Day].[All]" allUniqueName="[Calendar].[Day].[All]" dimensionUniqueName="[Calendar]" displayFolder="" count="0" memberValueDatatype="20" unbalanced="0"/>
    <cacheHierarchy uniqueName="[Calendar].[DayOfWeek]" caption="DayOfWeek" attribute="1" defaultMemberUniqueName="[Calendar].[DayOfWeek].[All]" allUniqueName="[Calendar].[DayOfWeek].[All]" dimensionUniqueName="[Calendar]" displayFolder="" count="0" memberValueDatatype="130" unbalanced="0"/>
    <cacheHierarchy uniqueName="[Calendar].[DayOfWeekAbr]" caption="DayOfWeekAbr" attribute="1" defaultMemberUniqueName="[Calendar].[DayOfWeekAbr].[All]" allUniqueName="[Calendar].[DayOfWeekAbr].[All]" dimensionUniqueName="[Calendar]" displayFolder="" count="0" memberValueDatatype="130" unbalanced="0"/>
    <cacheHierarchy uniqueName="[Calendar].[DayOfYear]" caption="DayOfYear" attribute="1" defaultMemberUniqueName="[Calendar].[DayOfYear].[All]" allUniqueName="[Calendar].[DayOfYear].[All]" dimensionUniqueName="[Calendar]" displayFolder="" count="0" memberValueDatatype="20" unbalanced="0"/>
    <cacheHierarchy uniqueName="[Calendar].[FinancialMonth]" caption="FinancialMonth" attribute="1" defaultMemberUniqueName="[Calendar].[FinancialMonth].[All]" allUniqueName="[Calendar].[FinancialMonth].[All]" dimensionUniqueName="[Calendar]" displayFolder="" count="0" memberValueDatatype="20" unbalanced="0"/>
    <cacheHierarchy uniqueName="[Calendar].[FinancialQuarter]" caption="FinancialQuarter" attribute="1" defaultMemberUniqueName="[Calendar].[FinancialQuarter].[All]" allUniqueName="[Calendar].[FinancialQuarter].[All]" dimensionUniqueName="[Calendar]" displayFolder="" count="0" memberValueDatatype="130" unbalanced="0"/>
    <cacheHierarchy uniqueName="[Calendar].[FinancialYear]" caption="FinancialYear" attribute="1" defaultMemberUniqueName="[Calendar].[FinancialYear].[All]" allUniqueName="[Calendar].[FinancialYear].[All]" dimensionUniqueName="[Calendar]" displayFolder="" count="0" memberValueDatatype="130" unbalanced="0"/>
    <cacheHierarchy uniqueName="[Calendar].[Month]" caption="Month" attribute="1" defaultMemberUniqueName="[Calendar].[Month].[All]" allUniqueName="[Calendar].[Month].[All]" dimensionUniqueName="[Calendar]" displayFolder="" count="0" memberValueDatatype="20" unbalanced="0"/>
    <cacheHierarchy uniqueName="[Calendar].[MonthEndDate]" caption="MonthEndDate" attribute="1" time="1" defaultMemberUniqueName="[Calendar].[MonthEndDate].[All]" allUniqueName="[Calendar].[MonthEndDate].[All]" dimensionUniqueName="[Calendar]" displayFolder="" count="0" memberValueDatatype="7" unbalanced="0"/>
    <cacheHierarchy uniqueName="[Calendar].[MonthName]" caption="MonthName" attribute="1" defaultMemberUniqueName="[Calendar].[MonthName].[All]" allUniqueName="[Calendar].[MonthName].[All]" dimensionUniqueName="[Calendar]" displayFolder="" count="0" memberValueDatatype="130" unbalanced="0"/>
    <cacheHierarchy uniqueName="[Calendar].[MonthNameAbr]" caption="MonthNameAbr" attribute="1" defaultMemberUniqueName="[Calendar].[MonthNameAbr].[All]" allUniqueName="[Calendar].[MonthNameAbr].[All]" dimensionUniqueName="[Calendar]" displayFolder="" count="0" memberValueDatatype="130" unbalanced="0"/>
    <cacheHierarchy uniqueName="[Calendar].[Quarter]" caption="Quarter" attribute="1" defaultMemberUniqueName="[Calendar].[Quarter].[All]" allUniqueName="[Calendar].[Quarter].[All]" dimensionUniqueName="[Calendar]" displayFolder="" count="0" memberValueDatatype="20" unbalanced="0"/>
    <cacheHierarchy uniqueName="[Calendar].[WeekOfYear]" caption="WeekOfYear" attribute="1" defaultMemberUniqueName="[Calendar].[WeekOfYear].[All]" allUniqueName="[Calendar].[WeekOfYear].[All]" dimensionUniqueName="[Calendar]" displayFolder="" count="0" memberValueDatatype="20" unbalanced="0"/>
    <cacheHierarchy uniqueName="[Calendar].[Year]" caption="Year" attribute="1" defaultMemberUniqueName="[Calendar].[Year].[All]" allUniqueName="[Calendar].[Year].[All]" dimensionUniqueName="[Calendar]" displayFolder="" count="2" memberValueDatatype="130" unbalanced="0">
      <fieldsUsage count="2">
        <fieldUsage x="-1"/>
        <fieldUsage x="6"/>
      </fieldsUsage>
    </cacheHierarchy>
    <cacheHierarchy uniqueName="[Calendar].[Year_Month]" caption="Year_Month" attribute="1" time="1" defaultMemberUniqueName="[Calendar].[Year_Month].[All]" allUniqueName="[Calendar].[Year_Month].[All]" dimensionUniqueName="[Calendar]" displayFolder="" count="2" memberValueDatatype="7" unbalanced="0">
      <fieldsUsage count="2">
        <fieldUsage x="-1"/>
        <fieldUsage x="7"/>
      </fieldsUsage>
    </cacheHierarchy>
    <cacheHierarchy uniqueName="[Calendar].[YearEndDate]" caption="YearEndDate" attribute="1" time="1" defaultMemberUniqueName="[Calendar].[YearEndDate].[All]" allUniqueName="[Calendar].[YearEndDate].[All]" dimensionUniqueName="[Calendar]" displayFolder="" count="0" memberValueDatatype="7" unbalanced="0"/>
    <cacheHierarchy uniqueName="[Calendar].[YearStartDate]" caption="YearStartDate" attribute="1" time="1" defaultMemberUniqueName="[Calendar].[YearStartDate].[All]" allUniqueName="[Calendar].[YearStartDate].[All]" dimensionUniqueName="[Calendar]" displayFolder="" count="0" memberValueDatatype="7" unbalanced="0"/>
    <cacheHierarchy uniqueName="[Closing Date].[ClosingDate]" caption="ClosingDate" attribute="1" time="1" defaultMemberUniqueName="[Closing Date].[ClosingDate].[All]" allUniqueName="[Closing Date].[ClosingDate].[All]" dimensionUniqueName="[Closing Date]" displayFolder="" count="0" memberValueDatatype="7" unbalanced="0"/>
    <cacheHierarchy uniqueName="[Closing Date].[Date]" caption="Date" attribute="1" time="1" defaultMemberUniqueName="[Closing Date].[Date].[All]" allUniqueName="[Closing Date].[Date].[All]" dimensionUniqueName="[Closing Date]" displayFolder="" count="0" memberValueDatatype="7" unbalanced="0"/>
    <cacheHierarchy uniqueName="[Closing Date].[Year]" caption="Year" attribute="1" defaultMemberUniqueName="[Closing Date].[Year].[All]" allUniqueName="[Closing Date].[Year].[All]" dimensionUniqueName="[Closing Date]" displayFolder="" count="0" memberValueDatatype="20" unbalanced="0"/>
    <cacheHierarchy uniqueName="[Closing Date].[Year_Month]" caption="Year_Month" attribute="1" time="1" defaultMemberUniqueName="[Closing Date].[Year_Month].[All]" allUniqueName="[Closing Date].[Year_Month].[All]" dimensionUniqueName="[Closing Date]" displayFolder="" count="0" memberValueDatatype="7" unbalanced="0"/>
    <cacheHierarchy uniqueName="[Organisation].[Address Line 1]" caption="Address Line 1" attribute="1" defaultMemberUniqueName="[Organisation].[Address Line 1].[All]" allUniqueName="[Organisation].[Address Line 1].[All]" dimensionUniqueName="[Organisation]" displayFolder="" count="0" memberValueDatatype="130" unbalanced="0"/>
    <cacheHierarchy uniqueName="[Organisation].[AddressLine2]" caption="AddressLine2" attribute="1" defaultMemberUniqueName="[Organisation].[AddressLine2].[All]" allUniqueName="[Organisation].[AddressLine2].[All]" dimensionUniqueName="[Organisation]" displayFolder="" count="0" memberValueDatatype="130" unbalanced="0"/>
    <cacheHierarchy uniqueName="[Organisation].[AddressLine3]" caption="AddressLine3" attribute="1" defaultMemberUniqueName="[Organisation].[AddressLine3].[All]" allUniqueName="[Organisation].[AddressLine3].[All]" dimensionUniqueName="[Organisation]" displayFolder="" count="0" memberValueDatatype="130" unbalanced="0"/>
    <cacheHierarchy uniqueName="[Organisation].[AddressType]" caption="AddressType" attribute="1" defaultMemberUniqueName="[Organisation].[AddressType].[All]" allUniqueName="[Organisation].[AddressType].[All]" dimensionUniqueName="[Organisation]" displayFolder="" count="0" memberValueDatatype="130" unbalanced="0"/>
    <cacheHierarchy uniqueName="[Organisation].[BaseCurrency]" caption="BaseCurrency" attribute="1" defaultMemberUniqueName="[Organisation].[BaseCurrency].[All]" allUniqueName="[Organisation].[BaseCurrency].[All]" dimensionUniqueName="[Organisation]" displayFolder="" count="0" memberValueDatatype="130" unbalanced="0"/>
    <cacheHierarchy uniqueName="[Organisation].[City]" caption="City" attribute="1" defaultMemberUniqueName="[Organisation].[City].[All]" allUniqueName="[Organisation].[City].[All]" dimensionUniqueName="[Organisation]" displayFolder="" count="0" memberValueDatatype="130" unbalanced="0"/>
    <cacheHierarchy uniqueName="[Organisation].[CountryCode]" caption="CountryCode" attribute="1" defaultMemberUniqueName="[Organisation].[CountryCode].[All]" allUniqueName="[Organisation].[CountryCode].[All]" dimensionUniqueName="[Organisation]" displayFolder="" count="0" memberValueDatatype="130" unbalanced="0"/>
    <cacheHierarchy uniqueName="[Organisation].[CreatedDate]" caption="CreatedDate" attribute="1" time="1" defaultMemberUniqueName="[Organisation].[CreatedDate].[All]" allUniqueName="[Organisation].[CreatedDate].[All]" dimensionUniqueName="[Organisation]" displayFolder="" count="0" memberValueDatatype="7" unbalanced="0"/>
    <cacheHierarchy uniqueName="[Organisation].[CreatedDateUTC]" caption="CreatedDateUTC" attribute="1" time="1" defaultMemberUniqueName="[Organisation].[CreatedDateUTC].[All]" allUniqueName="[Organisation].[CreatedDateUTC].[All]" dimensionUniqueName="[Organisation]" displayFolder="" count="0" memberValueDatatype="7" unbalanced="0"/>
    <cacheHierarchy uniqueName="[Organisation].[DefaultPurchasesTax]" caption="DefaultPurchasesTax" attribute="1" defaultMemberUniqueName="[Organisation].[DefaultPurchasesTax].[All]" allUniqueName="[Organisation].[DefaultPurchasesTax].[All]" dimensionUniqueName="[Organisation]" displayFolder="" count="0" memberValueDatatype="130" unbalanced="0"/>
    <cacheHierarchy uniqueName="[Organisation].[DefaultSalesTax]" caption="DefaultSalesTax" attribute="1" defaultMemberUniqueName="[Organisation].[DefaultSalesTax].[All]" allUniqueName="[Organisation].[DefaultSalesTax].[All]" dimensionUniqueName="[Organisation]" displayFolder="" count="0" memberValueDatatype="130" unbalanced="0"/>
    <cacheHierarchy uniqueName="[Organisation].[EndOfYearLockDate]" caption="EndOfYearLockDate" attribute="1" defaultMemberUniqueName="[Organisation].[EndOfYearLockDate].[All]" allUniqueName="[Organisation].[EndOfYearLockDate].[All]" dimensionUniqueName="[Organisation]" displayFolder="" count="0" memberValueDatatype="130" unbalanced="0"/>
    <cacheHierarchy uniqueName="[Organisation].[FinancialYearEndDay]" caption="FinancialYearEndDay" attribute="1" defaultMemberUniqueName="[Organisation].[FinancialYearEndDay].[All]" allUniqueName="[Organisation].[FinancialYearEndDay].[All]" dimensionUniqueName="[Organisation]" displayFolder="" count="0" memberValueDatatype="20" unbalanced="0"/>
    <cacheHierarchy uniqueName="[Organisation].[FinancialYearEndMonth]" caption="FinancialYearEndMonth" attribute="1" defaultMemberUniqueName="[Organisation].[FinancialYearEndMonth].[All]" allUniqueName="[Organisation].[FinancialYearEndMonth].[All]" dimensionUniqueName="[Organisation]" displayFolder="" count="0" memberValueDatatype="20" unbalanced="0"/>
    <cacheHierarchy uniqueName="[Organisation].[LegalName]" caption="LegalName" attribute="1" defaultMemberUniqueName="[Organisation].[LegalName].[All]" allUniqueName="[Organisation].[LegalName].[All]" dimensionUniqueName="[Organisation]" displayFolder="" count="2" memberValueDatatype="130" unbalanced="0">
      <fieldsUsage count="2">
        <fieldUsage x="-1"/>
        <fieldUsage x="5"/>
      </fieldsUsage>
    </cacheHierarchy>
    <cacheHierarchy uniqueName="[Organisation].[LineOfBusiness]" caption="LineOfBusiness" attribute="1" defaultMemberUniqueName="[Organisation].[LineOfBusiness].[All]" allUniqueName="[Organisation].[LineOfBusiness].[All]" dimensionUniqueName="[Organisation]" displayFolder="" count="0" memberValueDatatype="130" unbalanced="0"/>
    <cacheHierarchy uniqueName="[Organisation].[Organisation Name]" caption="Organisation Name" attribute="1" defaultMemberUniqueName="[Organisation].[Organisation Name].[All]" allUniqueName="[Organisation].[Organisation Name].[All]" dimensionUniqueName="[Organisation]" displayFolder="" count="0" memberValueDatatype="130" unbalanced="0"/>
    <cacheHierarchy uniqueName="[Organisation].[Organisation_ID]" caption="Organisation_ID" attribute="1" defaultMemberUniqueName="[Organisation].[Organisation_ID].[All]" allUniqueName="[Organisation].[Organisation_ID].[All]" dimensionUniqueName="[Organisation]" displayFolder="" count="0" memberValueDatatype="20" unbalanced="0"/>
    <cacheHierarchy uniqueName="[Organisation].[OrganisationEntityType]" caption="OrganisationEntityType" attribute="1" defaultMemberUniqueName="[Organisation].[OrganisationEntityType].[All]" allUniqueName="[Organisation].[OrganisationEntityType].[All]" dimensionUniqueName="[Organisation]" displayFolder="" count="0" memberValueDatatype="130" unbalanced="0"/>
    <cacheHierarchy uniqueName="[Organisation].[OrgStatus]" caption="OrgStatus" attribute="1" defaultMemberUniqueName="[Organisation].[OrgStatus].[All]" allUniqueName="[Organisation].[OrgStatus].[All]" dimensionUniqueName="[Organisation]" displayFolder="" count="0" memberValueDatatype="11" unbalanced="0"/>
    <cacheHierarchy uniqueName="[Organisation].[OrgType]" caption="OrgType" attribute="1" defaultMemberUniqueName="[Organisation].[OrgType].[All]" allUniqueName="[Organisation].[OrgType].[All]" dimensionUniqueName="[Organisation]" displayFolder="" count="0" memberValueDatatype="130" unbalanced="0"/>
    <cacheHierarchy uniqueName="[Organisation].[Ownership]" caption="Ownership" attribute="1" defaultMemberUniqueName="[Organisation].[Ownership].[All]" allUniqueName="[Organisation].[Ownership].[All]" dimensionUniqueName="[Organisation]" displayFolder="" count="0" memberValueDatatype="130" unbalanced="0"/>
    <cacheHierarchy uniqueName="[Organisation].[Parent]" caption="Parent" attribute="1" defaultMemberUniqueName="[Organisation].[Parent].[All]" allUniqueName="[Organisation].[Parent].[All]" dimensionUniqueName="[Organisation]" displayFolder="" count="0" memberValueDatatype="130" unbalanced="0"/>
    <cacheHierarchy uniqueName="[Organisation].[PaymentTermSaleType]" caption="PaymentTermSaleType" attribute="1" defaultMemberUniqueName="[Organisation].[PaymentTermSaleType].[All]" allUniqueName="[Organisation].[PaymentTermSaleType].[All]" dimensionUniqueName="[Organisation]" displayFolder="" count="0" memberValueDatatype="130" unbalanced="0"/>
    <cacheHierarchy uniqueName="[Organisation].[PaymentTermsBillDay]" caption="PaymentTermsBillDay" attribute="1" defaultMemberUniqueName="[Organisation].[PaymentTermsBillDay].[All]" allUniqueName="[Organisation].[PaymentTermsBillDay].[All]" dimensionUniqueName="[Organisation]" displayFolder="" count="0" memberValueDatatype="20" unbalanced="0"/>
    <cacheHierarchy uniqueName="[Organisation].[PaymentTermsBillType]" caption="PaymentTermsBillType" attribute="1" defaultMemberUniqueName="[Organisation].[PaymentTermsBillType].[All]" allUniqueName="[Organisation].[PaymentTermsBillType].[All]" dimensionUniqueName="[Organisation]" displayFolder="" count="0" memberValueDatatype="130" unbalanced="0"/>
    <cacheHierarchy uniqueName="[Organisation].[PaymentTermsSaleDay]" caption="PaymentTermsSaleDay" attribute="1" defaultMemberUniqueName="[Organisation].[PaymentTermsSaleDay].[All]" allUniqueName="[Organisation].[PaymentTermsSaleDay].[All]" dimensionUniqueName="[Organisation]" displayFolder="" count="0" memberValueDatatype="20" unbalanced="0"/>
    <cacheHierarchy uniqueName="[Organisation].[PaysTax]" caption="PaysTax" attribute="1" defaultMemberUniqueName="[Organisation].[PaysTax].[All]" allUniqueName="[Organisation].[PaysTax].[All]" dimensionUniqueName="[Organisation]" displayFolder="" count="0" memberValueDatatype="11" unbalanced="0"/>
    <cacheHierarchy uniqueName="[Organisation].[PeriodLockDate]" caption="PeriodLockDate" attribute="1" time="1" defaultMemberUniqueName="[Organisation].[PeriodLockDate].[All]" allUniqueName="[Organisation].[PeriodLockDate].[All]" dimensionUniqueName="[Organisation]" displayFolder="" count="0" memberValueDatatype="7" unbalanced="0"/>
    <cacheHierarchy uniqueName="[Organisation].[PhoneAreaCode]" caption="PhoneAreaCode" attribute="1" defaultMemberUniqueName="[Organisation].[PhoneAreaCode].[All]" allUniqueName="[Organisation].[PhoneAreaCode].[All]" dimensionUniqueName="[Organisation]" displayFolder="" count="0" memberValueDatatype="20" unbalanced="0"/>
    <cacheHierarchy uniqueName="[Organisation].[PhoneCountryCode]" caption="PhoneCountryCode" attribute="1" defaultMemberUniqueName="[Organisation].[PhoneCountryCode].[All]" allUniqueName="[Organisation].[PhoneCountryCode].[All]" dimensionUniqueName="[Organisation]" displayFolder="" count="0" memberValueDatatype="130" unbalanced="0"/>
    <cacheHierarchy uniqueName="[Organisation].[PhoneNumber]" caption="PhoneNumber" attribute="1" defaultMemberUniqueName="[Organisation].[PhoneNumber].[All]" allUniqueName="[Organisation].[PhoneNumber].[All]" dimensionUniqueName="[Organisation]" displayFolder="" count="0" memberValueDatatype="130" unbalanced="0"/>
    <cacheHierarchy uniqueName="[Organisation].[PhoneType]" caption="PhoneType" attribute="1" defaultMemberUniqueName="[Organisation].[PhoneType].[All]" allUniqueName="[Organisation].[PhoneType].[All]" dimensionUniqueName="[Organisation]" displayFolder="" count="0" memberValueDatatype="130" unbalanced="0"/>
    <cacheHierarchy uniqueName="[Organisation].[PostalCode]" caption="PostalCode" attribute="1" defaultMemberUniqueName="[Organisation].[PostalCode].[All]" allUniqueName="[Organisation].[PostalCode].[All]" dimensionUniqueName="[Organisation]" displayFolder="" count="0" memberValueDatatype="130" unbalanced="0"/>
    <cacheHierarchy uniqueName="[Organisation].[RegistrationNumber]" caption="RegistrationNumber" attribute="1" defaultMemberUniqueName="[Organisation].[RegistrationNumber].[All]" allUniqueName="[Organisation].[RegistrationNumber].[All]" dimensionUniqueName="[Organisation]" displayFolder="" count="0" memberValueDatatype="20" unbalanced="0"/>
    <cacheHierarchy uniqueName="[Organisation].[SalesTaxBasisType]" caption="SalesTaxBasisType" attribute="1" defaultMemberUniqueName="[Organisation].[SalesTaxBasisType].[All]" allUniqueName="[Organisation].[SalesTaxBasisType].[All]" dimensionUniqueName="[Organisation]" displayFolder="" count="0" memberValueDatatype="130" unbalanced="0"/>
    <cacheHierarchy uniqueName="[Organisation].[SalestaxPeriod]" caption="SalestaxPeriod" attribute="1" defaultMemberUniqueName="[Organisation].[SalestaxPeriod].[All]" allUniqueName="[Organisation].[SalestaxPeriod].[All]" dimensionUniqueName="[Organisation]" displayFolder="" count="0" memberValueDatatype="130" unbalanced="0"/>
    <cacheHierarchy uniqueName="[Organisation].[TaxNumber]" caption="TaxNumber" attribute="1" defaultMemberUniqueName="[Organisation].[TaxNumber].[All]" allUniqueName="[Organisation].[TaxNumber].[All]" dimensionUniqueName="[Organisation]" displayFolder="" count="0" memberValueDatatype="130" unbalanced="0"/>
    <cacheHierarchy uniqueName="[Organisation].[Timezone]" caption="Timezone" attribute="1" defaultMemberUniqueName="[Organisation].[Timezone].[All]" allUniqueName="[Organisation].[Timezone].[All]" dimensionUniqueName="[Organisation]" displayFolder="" count="0" memberValueDatatype="130" unbalanced="0"/>
    <cacheHierarchy uniqueName="[Organisation].[Version]" caption="Version" attribute="1" defaultMemberUniqueName="[Organisation].[Version].[All]" allUniqueName="[Organisation].[Version].[All]" dimensionUniqueName="[Organisation]" displayFolder="" count="0" memberValueDatatype="130" unbalanced="0"/>
    <cacheHierarchy uniqueName="[Report Structure].[CalcType]" caption="CalcType" attribute="1" defaultMemberUniqueName="[Report Structure].[CalcType].[All]" allUniqueName="[Report Structure].[CalcType].[All]" dimensionUniqueName="[Report Structure]" displayFolder="" count="0" memberValueDatatype="130" unbalanced="0"/>
    <cacheHierarchy uniqueName="[Report Structure].[Header]" caption="Header" attribute="1" defaultMemberUniqueName="[Report Structure].[Header].[All]" allUniqueName="[Report Structure].[Header].[All]" dimensionUniqueName="[Report Structure]" displayFolder="" count="0" memberValueDatatype="130" unbalanced="0"/>
    <cacheHierarchy uniqueName="[Report Structure].[Order]" caption="Order" attribute="1" defaultMemberUniqueName="[Report Structure].[Order].[All]" allUniqueName="[Report Structure].[Order].[All]" dimensionUniqueName="[Report Structure]" displayFolder="" count="0" memberValueDatatype="20" unbalanced="0"/>
    <cacheHierarchy uniqueName="[Report Structure].[Statement]" caption="Statement" attribute="1" defaultMemberUniqueName="[Report Structure].[Statement].[All]" allUniqueName="[Report Structure].[Statement].[All]" dimensionUniqueName="[Report Structure]" displayFolder="" count="0" memberValueDatatype="130" unbalanced="0"/>
    <cacheHierarchy uniqueName="[Scenario].[Scenario]" caption="Scenario" attribute="1" defaultMemberUniqueName="[Scenario].[Scenario].[All]" allUniqueName="[Scenario].[Scenario].[All]" dimensionUniqueName="[Scenario]" displayFolder="" count="0" memberValueDatatype="130" unbalanced="0"/>
    <cacheHierarchy uniqueName="[Transactions].[Account_ID]" caption="Account_ID" attribute="1" defaultMemberUniqueName="[Transactions].[Account_ID].[All]" allUniqueName="[Transactions].[Account_ID].[All]" dimensionUniqueName="[Transactions]" displayFolder="" count="0" memberValueDatatype="130" unbalanced="0"/>
    <cacheHierarchy uniqueName="[Transactions].[AccountClass]" caption="AccountClass" attribute="1" defaultMemberUniqueName="[Transactions].[AccountClass].[All]" allUniqueName="[Transactions].[AccountClass].[All]" dimensionUniqueName="[Transactions]" displayFolder="" count="0" memberValueDatatype="130" unbalanced="0"/>
    <cacheHierarchy uniqueName="[Transactions].[AccountCode]" caption="AccountCode" attribute="1" defaultMemberUniqueName="[Transactions].[AccountCode].[All]" allUniqueName="[Transactions].[AccountCode].[All]" dimensionUniqueName="[Transactions]" displayFolder="" count="0" memberValueDatatype="20" unbalanced="0"/>
    <cacheHierarchy uniqueName="[Transactions].[Balance]" caption="Balance" attribute="1" defaultMemberUniqueName="[Transactions].[Balance].[All]" allUniqueName="[Transactions].[Balance].[All]" dimensionUniqueName="[Transactions]" displayFolder="" count="0" memberValueDatatype="5" unbalanced="0"/>
    <cacheHierarchy uniqueName="[Transactions].[BaseCurrency]" caption="BaseCurrency" attribute="1" defaultMemberUniqueName="[Transactions].[BaseCurrency].[All]" allUniqueName="[Transactions].[BaseCurrency].[All]" dimensionUniqueName="[Transactions]" displayFolder="" count="0" memberValueDatatype="130" unbalanced="0"/>
    <cacheHierarchy uniqueName="[Transactions].[CreatedOrUpdatedDateUTC]" caption="CreatedOrUpdatedDateUTC" attribute="1" time="1" defaultMemberUniqueName="[Transactions].[CreatedOrUpdatedDateUTC].[All]" allUniqueName="[Transactions].[CreatedOrUpdatedDateUTC].[All]" dimensionUniqueName="[Transactions]" displayFolder="" count="0" memberValueDatatype="7" unbalanced="0"/>
    <cacheHierarchy uniqueName="[Transactions].[Date]" caption="Date" attribute="1" time="1" defaultMemberUniqueName="[Transactions].[Date].[All]" allUniqueName="[Transactions].[Date].[All]" dimensionUniqueName="[Transactions]" displayFolder="" count="0" memberValueDatatype="7" unbalanced="0"/>
    <cacheHierarchy uniqueName="[Transactions].[GrossAmt_GC]" caption="GrossAmt_GC" attribute="1" defaultMemberUniqueName="[Transactions].[GrossAmt_GC].[All]" allUniqueName="[Transactions].[GrossAmt_GC].[All]" dimensionUniqueName="[Transactions]" displayFolder="" count="0" memberValueDatatype="5" unbalanced="0"/>
    <cacheHierarchy uniqueName="[Transactions].[GrossAmt_LC]" caption="GrossAmt_LC" attribute="1" defaultMemberUniqueName="[Transactions].[GrossAmt_LC].[All]" allUniqueName="[Transactions].[GrossAmt_LC].[All]" dimensionUniqueName="[Transactions]" displayFolder="" count="0" memberValueDatatype="5" unbalanced="0"/>
    <cacheHierarchy uniqueName="[Transactions].[Group_FXRate]" caption="Group_FXRate" attribute="1" defaultMemberUniqueName="[Transactions].[Group_FXRate].[All]" allUniqueName="[Transactions].[Group_FXRate].[All]" dimensionUniqueName="[Transactions]" displayFolder="" count="0" memberValueDatatype="20" unbalanced="0"/>
    <cacheHierarchy uniqueName="[Transactions].[JID]" caption="JID" attribute="1" defaultMemberUniqueName="[Transactions].[JID].[All]" allUniqueName="[Transactions].[JID].[All]" dimensionUniqueName="[Transactions]" displayFolder="" count="0" memberValueDatatype="130" unbalanced="0"/>
    <cacheHierarchy uniqueName="[Transactions].[Month]" caption="Month" attribute="1" defaultMemberUniqueName="[Transactions].[Month].[All]" allUniqueName="[Transactions].[Month].[All]" dimensionUniqueName="[Transactions]" displayFolder="" count="0" memberValueDatatype="130" unbalanced="0"/>
    <cacheHierarchy uniqueName="[Transactions].[Months]" caption="Months" attribute="1" defaultMemberUniqueName="[Transactions].[Months].[All]" allUniqueName="[Transactions].[Months].[All]" dimensionUniqueName="[Transactions]" displayFolder="" count="0" memberValueDatatype="130" unbalanced="0"/>
    <cacheHierarchy uniqueName="[Transactions].[NetAmount_GC]" caption="NetAmount_GC" attribute="1" defaultMemberUniqueName="[Transactions].[NetAmount_GC].[All]" allUniqueName="[Transactions].[NetAmount_GC].[All]" dimensionUniqueName="[Transactions]" displayFolder="" count="0" memberValueDatatype="5" unbalanced="0"/>
    <cacheHierarchy uniqueName="[Transactions].[NetAmount_LC]" caption="NetAmount_LC" attribute="1" defaultMemberUniqueName="[Transactions].[NetAmount_LC].[All]" allUniqueName="[Transactions].[NetAmount_LC].[All]" dimensionUniqueName="[Transactions]" displayFolder="" count="0" memberValueDatatype="5" unbalanced="0"/>
    <cacheHierarchy uniqueName="[Transactions].[Organisation_ID]" caption="Organisation_ID" attribute="1" defaultMemberUniqueName="[Transactions].[Organisation_ID].[All]" allUniqueName="[Transactions].[Organisation_ID].[All]" dimensionUniqueName="[Transactions]" displayFolder="" count="0" memberValueDatatype="130" unbalanced="0"/>
    <cacheHierarchy uniqueName="[Transactions].[Reference]" caption="Reference" attribute="1" defaultMemberUniqueName="[Transactions].[Reference].[All]" allUniqueName="[Transactions].[Reference].[All]" dimensionUniqueName="[Transactions]" displayFolder="" count="0" memberValueDatatype="130" unbalanced="0"/>
    <cacheHierarchy uniqueName="[Transactions].[Scenario]" caption="Scenario" attribute="1" defaultMemberUniqueName="[Transactions].[Scenario].[All]" allUniqueName="[Transactions].[Scenario].[All]" dimensionUniqueName="[Transactions]" displayFolder="" count="0" memberValueDatatype="130" unbalanced="0"/>
    <cacheHierarchy uniqueName="[Transactions].[TaxName]" caption="TaxName" attribute="1" defaultMemberUniqueName="[Transactions].[TaxName].[All]" allUniqueName="[Transactions].[TaxName].[All]" dimensionUniqueName="[Transactions]" displayFolder="" count="0" memberValueDatatype="130" unbalanced="0"/>
    <cacheHierarchy uniqueName="[Transactions].[TaxType]" caption="TaxType" attribute="1" defaultMemberUniqueName="[Transactions].[TaxType].[All]" allUniqueName="[Transactions].[TaxType].[All]" dimensionUniqueName="[Transactions]" displayFolder="" count="0" memberValueDatatype="130" unbalanced="0"/>
    <cacheHierarchy uniqueName="[Transactions].[Years]" caption="Years" attribute="1" defaultMemberUniqueName="[Transactions].[Years].[All]" allUniqueName="[Transactions].[Years].[All]" dimensionUniqueName="[Transactions]" displayFolder="" count="0" memberValueDatatype="130" unbalanced="0"/>
    <cacheHierarchy uniqueName="[Measures].[Filtered]" caption="Filtered" measure="1" displayFolder="" measureGroup="Accounts" count="0"/>
    <cacheHierarchy uniqueName="[Measures].[Total Revenue]" caption="Total Revenue" measure="1" displayFolder="" measureGroup="Transactions" count="0"/>
    <cacheHierarchy uniqueName="[Measures].[%Sales]" caption="%Sales" measure="1" displayFolder="" measureGroup="Transactions" count="0"/>
    <cacheHierarchy uniqueName="[Measures].[ACT]" caption="ACT" measure="1" displayFolder="" measureGroup="Transactions" count="0" oneField="1">
      <fieldsUsage count="1">
        <fieldUsage x="2"/>
      </fieldsUsage>
    </cacheHierarchy>
    <cacheHierarchy uniqueName="[Measures].[VAR]" caption="VAR" measure="1" displayFolder="" measureGroup="Transactions" count="0"/>
    <cacheHierarchy uniqueName="[Measures].[VAR %]" caption="VAR %" measure="1" displayFolder="" measureGroup="Transactions" count="0"/>
    <cacheHierarchy uniqueName="[Measures].[PY ACT]" caption="PY ACT" measure="1" displayFolder="" measureGroup="Transactions" count="0"/>
    <cacheHierarchy uniqueName="[Measures].[YTD ACT]" caption="YTD ACT" measure="1" displayFolder="" measureGroup="Transactions" count="0"/>
    <cacheHierarchy uniqueName="[Measures].[Running Total]" caption="Running Total" measure="1" displayFolder="" measureGroup="Transactions" count="0"/>
    <cacheHierarchy uniqueName="[Measures].[Report Value]" caption="Report Value" measure="1" displayFolder="" measureGroup="Transactions" count="0"/>
    <cacheHierarchy uniqueName="[Measures].[Balance sheet]" caption="Balance sheet" measure="1" displayFolder="" measureGroup="Transactions" count="0"/>
    <cacheHierarchy uniqueName="[Measures].[showYear]" caption="showYear" measure="1" displayFolder="" measureGroup="Transactions" count="0"/>
    <cacheHierarchy uniqueName="[Measures].[BUD]" caption="BUD" measure="1" displayFolder="" measureGroup="Transactions" count="0" oneField="1">
      <fieldsUsage count="1">
        <fieldUsage x="3"/>
      </fieldsUsage>
    </cacheHierarchy>
    <cacheHierarchy uniqueName="[Measures].[Asymmetric]" caption="Asymmetric" measure="1" displayFolder="" measureGroup="Transactions" count="0"/>
    <cacheHierarchy uniqueName="[Measures].[Rolling Forecast]" caption="Rolling Forecast" measure="1" displayFolder="" measureGroup="Transactions" count="0"/>
    <cacheHierarchy uniqueName="[Measures].[DAX ACT ex Calender]" caption="DAX ACT ex Calender" measure="1" displayFolder="" measureGroup="Transactions" count="0"/>
    <cacheHierarchy uniqueName="[Measures].[Header Order]" caption="Header Order" measure="1" displayFolder="" measureGroup="Report Structure" count="0"/>
    <cacheHierarchy uniqueName="[Measures].[__Default measure]" caption="__Default measure" measure="1" displayFolder="" count="0" hidden="1"/>
  </cacheHierarchies>
  <kpis count="0"/>
  <dimensions count="10">
    <dimension name="Accounts" uniqueName="[Accounts]" caption="Accounts"/>
    <dimension name="Asymmetric" uniqueName="[Asymmetric]" caption="Asymmetric"/>
    <dimension name="Budget" uniqueName="[Budget]" caption="Budget"/>
    <dimension name="Calendar" uniqueName="[Calendar]" caption="Calendar"/>
    <dimension name="Closing Date" uniqueName="[Closing Date]" caption="Closing Date"/>
    <dimension measure="1" name="Measures" uniqueName="[Measures]" caption="Measures"/>
    <dimension name="Organisation" uniqueName="[Organisation]" caption="Organisation"/>
    <dimension name="Report Structure" uniqueName="[Report Structure]" caption="Report Structure"/>
    <dimension name="Scenario" uniqueName="[Scenario]" caption="Scenario"/>
    <dimension name="Transactions" uniqueName="[Transactions]" caption="Transactions"/>
  </dimensions>
  <measureGroups count="9">
    <measureGroup name="Accounts" caption="Accounts"/>
    <measureGroup name="Asymmetric" caption="Asymmetric"/>
    <measureGroup name="Budget" caption="Budget"/>
    <measureGroup name="Calendar" caption="Calendar"/>
    <measureGroup name="Closing Date" caption="Closing Date"/>
    <measureGroup name="Organisation" caption="Organisation"/>
    <measureGroup name="Report Structure" caption="Report Structure"/>
    <measureGroup name="Scenario" caption="Scenario"/>
    <measureGroup name="Transactions" caption="Transactions"/>
  </measureGroups>
  <maps count="20">
    <map measureGroup="0" dimension="0"/>
    <map measureGroup="0" dimension="7"/>
    <map measureGroup="1" dimension="1"/>
    <map measureGroup="2" dimension="0"/>
    <map measureGroup="2" dimension="2"/>
    <map measureGroup="2" dimension="3"/>
    <map measureGroup="2" dimension="6"/>
    <map measureGroup="2" dimension="7"/>
    <map measureGroup="3" dimension="3"/>
    <map measureGroup="4" dimension="4"/>
    <map measureGroup="5" dimension="6"/>
    <map measureGroup="6" dimension="7"/>
    <map measureGroup="7" dimension="8"/>
    <map measureGroup="8" dimension="0"/>
    <map measureGroup="8" dimension="1"/>
    <map measureGroup="8" dimension="3"/>
    <map measureGroup="8" dimension="6"/>
    <map measureGroup="8" dimension="7"/>
    <map measureGroup="8" dimension="8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Martin Kratky" refreshedDate="45956.43237800926" createdVersion="6" refreshedVersion="8" minRefreshableVersion="3" recordCount="0" supportSubquery="1" supportAdvancedDrill="1" xr:uid="{CF24199A-F0F0-4FBD-97FF-9E5EF2B04494}">
  <cacheSource type="external" connectionId="1"/>
  <cacheFields count="3">
    <cacheField name="[Accounts].[Statement].[Statement]" caption="Statement" numFmtId="0" hierarchy="15" level="1">
      <sharedItems containsSemiMixedTypes="0" containsString="0"/>
    </cacheField>
    <cacheField name="[Organisation].[LegalName].[LegalName]" caption="LegalName" numFmtId="0" hierarchy="67" level="1">
      <sharedItems containsSemiMixedTypes="0" containsString="0"/>
    </cacheField>
    <cacheField name="[Calendar].[Year].[Year]" caption="Year" numFmtId="0" hierarchy="45" level="1">
      <sharedItems containsSemiMixedTypes="0" containsString="0"/>
    </cacheField>
  </cacheFields>
  <cacheHierarchies count="137">
    <cacheHierarchy uniqueName="[Accounts].[Account key]" caption="Account key" attribute="1" defaultMemberUniqueName="[Accounts].[Account key].[All]" allUniqueName="[Accounts].[Account key].[All]" dimensionUniqueName="[Accounts]" displayFolder="" count="0" memberValueDatatype="130" unbalanced="0"/>
    <cacheHierarchy uniqueName="[Accounts].[Account_ID]" caption="Account_ID" attribute="1" defaultMemberUniqueName="[Accounts].[Account_ID].[All]" allUniqueName="[Accounts].[Account_ID].[All]" dimensionUniqueName="[Accounts]" displayFolder="" count="0" memberValueDatatype="20" unbalanced="0"/>
    <cacheHierarchy uniqueName="[Accounts].[BankAccountNumber]" caption="BankAccountNumber" attribute="1" defaultMemberUniqueName="[Accounts].[BankAccountNumber].[All]" allUniqueName="[Accounts].[BankAccountNumber].[All]" dimensionUniqueName="[Accounts]" displayFolder="" count="0" memberValueDatatype="130" unbalanced="0"/>
    <cacheHierarchy uniqueName="[Accounts].[Cash Flow ]" caption="Cash Flow " attribute="1" defaultMemberUniqueName="[Accounts].[Cash Flow ].[All]" allUniqueName="[Accounts].[Cash Flow ].[All]" dimensionUniqueName="[Accounts]" displayFolder="" count="0" memberValueDatatype="130" unbalanced="0"/>
    <cacheHierarchy uniqueName="[Accounts].[Cash Flow Group]" caption="Cash Flow Group" attribute="1" defaultMemberUniqueName="[Accounts].[Cash Flow Group].[All]" allUniqueName="[Accounts].[Cash Flow Group].[All]" dimensionUniqueName="[Accounts]" displayFolder="" count="0" memberValueDatatype="130" unbalanced="0"/>
    <cacheHierarchy uniqueName="[Accounts].[Class]" caption="Class" attribute="1" defaultMemberUniqueName="[Accounts].[Class].[All]" allUniqueName="[Accounts].[Class].[All]" dimensionUniqueName="[Accounts]" displayFolder="" count="0" memberValueDatatype="130" unbalanced="0"/>
    <cacheHierarchy uniqueName="[Accounts].[Code]" caption="Code" attribute="1" defaultMemberUniqueName="[Accounts].[Code].[All]" allUniqueName="[Accounts].[Code].[All]" dimensionUniqueName="[Accounts]" displayFolder="" count="0" memberValueDatatype="20" unbalanced="0"/>
    <cacheHierarchy uniqueName="[Accounts].[CurrencyCode]" caption="CurrencyCode" attribute="1" defaultMemberUniqueName="[Accounts].[CurrencyCode].[All]" allUniqueName="[Accounts].[CurrencyCode].[All]" dimensionUniqueName="[Accounts]" displayFolder="" count="0" memberValueDatatype="130" unbalanced="0"/>
    <cacheHierarchy uniqueName="[Accounts].[Description]" caption="Description" attribute="1" defaultMemberUniqueName="[Accounts].[Description].[All]" allUniqueName="[Accounts].[Description].[All]" dimensionUniqueName="[Accounts]" displayFolder="" count="0" memberValueDatatype="130" unbalanced="0"/>
    <cacheHierarchy uniqueName="[Accounts].[FX Conversion]" caption="FX Conversion" attribute="1" defaultMemberUniqueName="[Accounts].[FX Conversion].[All]" allUniqueName="[Accounts].[FX Conversion].[All]" dimensionUniqueName="[Accounts]" displayFolder="" count="0" memberValueDatatype="130" unbalanced="0"/>
    <cacheHierarchy uniqueName="[Accounts].[IC]" caption="IC" attribute="1" defaultMemberUniqueName="[Accounts].[IC].[All]" allUniqueName="[Accounts].[IC].[All]" dimensionUniqueName="[Accounts]" displayFolder="" count="0" memberValueDatatype="130" unbalanced="0"/>
    <cacheHierarchy uniqueName="[Accounts].[Name]" caption="Name" attribute="1" defaultMemberUniqueName="[Accounts].[Name].[All]" allUniqueName="[Accounts].[Name].[All]" dimensionUniqueName="[Accounts]" displayFolder="" count="2" memberValueDatatype="130" unbalanced="0"/>
    <cacheHierarchy uniqueName="[Accounts].[OrgName]" caption="OrgName" attribute="1" defaultMemberUniqueName="[Accounts].[OrgName].[All]" allUniqueName="[Accounts].[OrgName].[All]" dimensionUniqueName="[Accounts]" displayFolder="" count="0" memberValueDatatype="130" unbalanced="0"/>
    <cacheHierarchy uniqueName="[Accounts].[ReportingCode]" caption="ReportingCode" attribute="1" defaultMemberUniqueName="[Accounts].[ReportingCode].[All]" allUniqueName="[Accounts].[ReportingCode].[All]" dimensionUniqueName="[Accounts]" displayFolder="" count="0" memberValueDatatype="130" unbalanced="0"/>
    <cacheHierarchy uniqueName="[Accounts].[ReportingCodeName]" caption="ReportingCodeName" attribute="1" defaultMemberUniqueName="[Accounts].[ReportingCodeName].[All]" allUniqueName="[Accounts].[ReportingCodeName].[All]" dimensionUniqueName="[Accounts]" displayFolder="" count="0" memberValueDatatype="130" unbalanced="0"/>
    <cacheHierarchy uniqueName="[Accounts].[Statement]" caption="Statement" attribute="1" defaultMemberUniqueName="[Accounts].[Statement].[All]" allUniqueName="[Accounts].[Statement].[All]" dimensionUniqueName="[Accounts]" displayFolder="" count="2" memberValueDatatype="130" unbalanced="0">
      <fieldsUsage count="2">
        <fieldUsage x="-1"/>
        <fieldUsage x="0"/>
      </fieldsUsage>
    </cacheHierarchy>
    <cacheHierarchy uniqueName="[Accounts].[Status]" caption="Status" attribute="1" defaultMemberUniqueName="[Accounts].[Status].[All]" allUniqueName="[Accounts].[Status].[All]" dimensionUniqueName="[Accounts]" displayFolder="" count="0" memberValueDatatype="130" unbalanced="0"/>
    <cacheHierarchy uniqueName="[Accounts].[Type]" caption="Type" attribute="1" defaultMemberUniqueName="[Accounts].[Type].[All]" allUniqueName="[Accounts].[Type].[All]" dimensionUniqueName="[Accounts]" displayFolder="" count="2" memberValueDatatype="130" unbalanced="0"/>
    <cacheHierarchy uniqueName="[Accounts].[Type Order]" caption="Type Order" attribute="1" defaultMemberUniqueName="[Accounts].[Type Order].[All]" allUniqueName="[Accounts].[Type Order].[All]" dimensionUniqueName="[Accounts]" displayFolder="" count="0" memberValueDatatype="20" unbalanced="0"/>
    <cacheHierarchy uniqueName="[Asymmetric].[Order]" caption="Order" attribute="1" defaultMemberUniqueName="[Asymmetric].[Order].[All]" allUniqueName="[Asymmetric].[Order].[All]" dimensionUniqueName="[Asymmetric]" displayFolder="" count="0" memberValueDatatype="130" unbalanced="0"/>
    <cacheHierarchy uniqueName="[Asymmetric].[Report Year]" caption="Report Year" attribute="1" defaultMemberUniqueName="[Asymmetric].[Report Year].[All]" allUniqueName="[Asymmetric].[Report Year].[All]" dimensionUniqueName="[Asymmetric]" displayFolder="" count="0" memberValueDatatype="130" unbalanced="0"/>
    <cacheHierarchy uniqueName="[Asymmetric].[Scenario]" caption="Scenario" attribute="1" defaultMemberUniqueName="[Asymmetric].[Scenario].[All]" allUniqueName="[Asymmetric].[Scenario].[All]" dimensionUniqueName="[Asymmetric]" displayFolder="" count="0" memberValueDatatype="130" unbalanced="0"/>
    <cacheHierarchy uniqueName="[Budget].[Account_ID]" caption="Account_ID" attribute="1" defaultMemberUniqueName="[Budget].[Account_ID].[All]" allUniqueName="[Budget].[Account_ID].[All]" dimensionUniqueName="[Budget]" displayFolder="" count="0" memberValueDatatype="130" unbalanced="0"/>
    <cacheHierarchy uniqueName="[Budget].[AccountClass]" caption="AccountClass" attribute="1" defaultMemberUniqueName="[Budget].[AccountClass].[All]" allUniqueName="[Budget].[AccountClass].[All]" dimensionUniqueName="[Budget]" displayFolder="" count="0" memberValueDatatype="130" unbalanced="0"/>
    <cacheHierarchy uniqueName="[Budget].[Date]" caption="Date" attribute="1" time="1" defaultMemberUniqueName="[Budget].[Date].[All]" allUniqueName="[Budget].[Date].[All]" dimensionUniqueName="[Budget]" displayFolder="" count="0" memberValueDatatype="7" unbalanced="0"/>
    <cacheHierarchy uniqueName="[Budget].[Month]" caption="Month" attribute="1" defaultMemberUniqueName="[Budget].[Month].[All]" allUniqueName="[Budget].[Month].[All]" dimensionUniqueName="[Budget]" displayFolder="" count="0" memberValueDatatype="130" unbalanced="0"/>
    <cacheHierarchy uniqueName="[Budget].[NetAmount_GC]" caption="NetAmount_GC" attribute="1" defaultMemberUniqueName="[Budget].[NetAmount_GC].[All]" allUniqueName="[Budget].[NetAmount_GC].[All]" dimensionUniqueName="[Budget]" displayFolder="" count="0" memberValueDatatype="5" unbalanced="0"/>
    <cacheHierarchy uniqueName="[Budget].[NetAmount_LC]" caption="NetAmount_LC" attribute="1" defaultMemberUniqueName="[Budget].[NetAmount_LC].[All]" allUniqueName="[Budget].[NetAmount_LC].[All]" dimensionUniqueName="[Budget]" displayFolder="" count="0" memberValueDatatype="5" unbalanced="0"/>
    <cacheHierarchy uniqueName="[Budget].[Organisation_ID]" caption="Organisation_ID" attribute="1" defaultMemberUniqueName="[Budget].[Organisation_ID].[All]" allUniqueName="[Budget].[Organisation_ID].[All]" dimensionUniqueName="[Budget]" displayFolder="" count="0" memberValueDatatype="130" unbalanced="0"/>
    <cacheHierarchy uniqueName="[Budget].[Scenario]" caption="Scenario" attribute="1" defaultMemberUniqueName="[Budget].[Scenario].[All]" allUniqueName="[Budget].[Scenario].[All]" dimensionUniqueName="[Budget]" displayFolder="" count="0" memberValueDatatype="130" unbalanced="0"/>
    <cacheHierarchy uniqueName="[Budget].[Years]" caption="Years" attribute="1" defaultMemberUniqueName="[Budget].[Years].[All]" allUniqueName="[Budget].[Years].[All]" dimensionUniqueName="[Budget]" displayFolder="" count="0" memberValueDatatype="130" unbalanced="0"/>
    <cacheHierarchy uniqueName="[Calendar].[Date]" caption="Date" attribute="1" time="1" defaultMemberUniqueName="[Calendar].[Date].[All]" allUniqueName="[Calendar].[Date].[All]" dimensionUniqueName="[Calendar]" displayFolder="" count="0" memberValueDatatype="7" unbalanced="0"/>
    <cacheHierarchy uniqueName="[Calendar].[Day]" caption="Day" attribute="1" defaultMemberUniqueName="[Calendar].[Day].[All]" allUniqueName="[Calendar].[Day].[All]" dimensionUniqueName="[Calendar]" displayFolder="" count="0" memberValueDatatype="20" unbalanced="0"/>
    <cacheHierarchy uniqueName="[Calendar].[DayOfWeek]" caption="DayOfWeek" attribute="1" defaultMemberUniqueName="[Calendar].[DayOfWeek].[All]" allUniqueName="[Calendar].[DayOfWeek].[All]" dimensionUniqueName="[Calendar]" displayFolder="" count="0" memberValueDatatype="130" unbalanced="0"/>
    <cacheHierarchy uniqueName="[Calendar].[DayOfWeekAbr]" caption="DayOfWeekAbr" attribute="1" defaultMemberUniqueName="[Calendar].[DayOfWeekAbr].[All]" allUniqueName="[Calendar].[DayOfWeekAbr].[All]" dimensionUniqueName="[Calendar]" displayFolder="" count="0" memberValueDatatype="130" unbalanced="0"/>
    <cacheHierarchy uniqueName="[Calendar].[DayOfYear]" caption="DayOfYear" attribute="1" defaultMemberUniqueName="[Calendar].[DayOfYear].[All]" allUniqueName="[Calendar].[DayOfYear].[All]" dimensionUniqueName="[Calendar]" displayFolder="" count="0" memberValueDatatype="20" unbalanced="0"/>
    <cacheHierarchy uniqueName="[Calendar].[FinancialMonth]" caption="FinancialMonth" attribute="1" defaultMemberUniqueName="[Calendar].[FinancialMonth].[All]" allUniqueName="[Calendar].[FinancialMonth].[All]" dimensionUniqueName="[Calendar]" displayFolder="" count="0" memberValueDatatype="20" unbalanced="0"/>
    <cacheHierarchy uniqueName="[Calendar].[FinancialQuarter]" caption="FinancialQuarter" attribute="1" defaultMemberUniqueName="[Calendar].[FinancialQuarter].[All]" allUniqueName="[Calendar].[FinancialQuarter].[All]" dimensionUniqueName="[Calendar]" displayFolder="" count="0" memberValueDatatype="130" unbalanced="0"/>
    <cacheHierarchy uniqueName="[Calendar].[FinancialYear]" caption="FinancialYear" attribute="1" defaultMemberUniqueName="[Calendar].[FinancialYear].[All]" allUniqueName="[Calendar].[FinancialYear].[All]" dimensionUniqueName="[Calendar]" displayFolder="" count="0" memberValueDatatype="130" unbalanced="0"/>
    <cacheHierarchy uniqueName="[Calendar].[Month]" caption="Month" attribute="1" defaultMemberUniqueName="[Calendar].[Month].[All]" allUniqueName="[Calendar].[Month].[All]" dimensionUniqueName="[Calendar]" displayFolder="" count="0" memberValueDatatype="20" unbalanced="0"/>
    <cacheHierarchy uniqueName="[Calendar].[MonthEndDate]" caption="MonthEndDate" attribute="1" time="1" defaultMemberUniqueName="[Calendar].[MonthEndDate].[All]" allUniqueName="[Calendar].[MonthEndDate].[All]" dimensionUniqueName="[Calendar]" displayFolder="" count="0" memberValueDatatype="7" unbalanced="0"/>
    <cacheHierarchy uniqueName="[Calendar].[MonthName]" caption="MonthName" attribute="1" defaultMemberUniqueName="[Calendar].[MonthName].[All]" allUniqueName="[Calendar].[MonthName].[All]" dimensionUniqueName="[Calendar]" displayFolder="" count="0" memberValueDatatype="130" unbalanced="0"/>
    <cacheHierarchy uniqueName="[Calendar].[MonthNameAbr]" caption="MonthNameAbr" attribute="1" defaultMemberUniqueName="[Calendar].[MonthNameAbr].[All]" allUniqueName="[Calendar].[MonthNameAbr].[All]" dimensionUniqueName="[Calendar]" displayFolder="" count="0" memberValueDatatype="130" unbalanced="0"/>
    <cacheHierarchy uniqueName="[Calendar].[Quarter]" caption="Quarter" attribute="1" defaultMemberUniqueName="[Calendar].[Quarter].[All]" allUniqueName="[Calendar].[Quarter].[All]" dimensionUniqueName="[Calendar]" displayFolder="" count="0" memberValueDatatype="20" unbalanced="0"/>
    <cacheHierarchy uniqueName="[Calendar].[WeekOfYear]" caption="WeekOfYear" attribute="1" defaultMemberUniqueName="[Calendar].[WeekOfYear].[All]" allUniqueName="[Calendar].[WeekOfYear].[All]" dimensionUniqueName="[Calendar]" displayFolder="" count="0" memberValueDatatype="20" unbalanced="0"/>
    <cacheHierarchy uniqueName="[Calendar].[Year]" caption="Year" attribute="1" defaultMemberUniqueName="[Calendar].[Year].[All]" allUniqueName="[Calendar].[Year].[All]" dimensionUniqueName="[Calendar]" displayFolder="" count="2" memberValueDatatype="130" unbalanced="0">
      <fieldsUsage count="2">
        <fieldUsage x="-1"/>
        <fieldUsage x="2"/>
      </fieldsUsage>
    </cacheHierarchy>
    <cacheHierarchy uniqueName="[Calendar].[Year_Month]" caption="Year_Month" attribute="1" time="1" defaultMemberUniqueName="[Calendar].[Year_Month].[All]" allUniqueName="[Calendar].[Year_Month].[All]" dimensionUniqueName="[Calendar]" displayFolder="" count="2" memberValueDatatype="7" unbalanced="0"/>
    <cacheHierarchy uniqueName="[Calendar].[YearEndDate]" caption="YearEndDate" attribute="1" time="1" defaultMemberUniqueName="[Calendar].[YearEndDate].[All]" allUniqueName="[Calendar].[YearEndDate].[All]" dimensionUniqueName="[Calendar]" displayFolder="" count="0" memberValueDatatype="7" unbalanced="0"/>
    <cacheHierarchy uniqueName="[Calendar].[YearStartDate]" caption="YearStartDate" attribute="1" time="1" defaultMemberUniqueName="[Calendar].[YearStartDate].[All]" allUniqueName="[Calendar].[YearStartDate].[All]" dimensionUniqueName="[Calendar]" displayFolder="" count="0" memberValueDatatype="7" unbalanced="0"/>
    <cacheHierarchy uniqueName="[Closing Date].[ClosingDate]" caption="ClosingDate" attribute="1" time="1" defaultMemberUniqueName="[Closing Date].[ClosingDate].[All]" allUniqueName="[Closing Date].[ClosingDate].[All]" dimensionUniqueName="[Closing Date]" displayFolder="" count="0" memberValueDatatype="7" unbalanced="0"/>
    <cacheHierarchy uniqueName="[Closing Date].[Date]" caption="Date" attribute="1" time="1" defaultMemberUniqueName="[Closing Date].[Date].[All]" allUniqueName="[Closing Date].[Date].[All]" dimensionUniqueName="[Closing Date]" displayFolder="" count="0" memberValueDatatype="7" unbalanced="0"/>
    <cacheHierarchy uniqueName="[Closing Date].[Year]" caption="Year" attribute="1" defaultMemberUniqueName="[Closing Date].[Year].[All]" allUniqueName="[Closing Date].[Year].[All]" dimensionUniqueName="[Closing Date]" displayFolder="" count="0" memberValueDatatype="20" unbalanced="0"/>
    <cacheHierarchy uniqueName="[Closing Date].[Year_Month]" caption="Year_Month" attribute="1" time="1" defaultMemberUniqueName="[Closing Date].[Year_Month].[All]" allUniqueName="[Closing Date].[Year_Month].[All]" dimensionUniqueName="[Closing Date]" displayFolder="" count="0" memberValueDatatype="7" unbalanced="0"/>
    <cacheHierarchy uniqueName="[Organisation].[Address Line 1]" caption="Address Line 1" attribute="1" defaultMemberUniqueName="[Organisation].[Address Line 1].[All]" allUniqueName="[Organisation].[Address Line 1].[All]" dimensionUniqueName="[Organisation]" displayFolder="" count="0" memberValueDatatype="130" unbalanced="0"/>
    <cacheHierarchy uniqueName="[Organisation].[AddressLine2]" caption="AddressLine2" attribute="1" defaultMemberUniqueName="[Organisation].[AddressLine2].[All]" allUniqueName="[Organisation].[AddressLine2].[All]" dimensionUniqueName="[Organisation]" displayFolder="" count="0" memberValueDatatype="130" unbalanced="0"/>
    <cacheHierarchy uniqueName="[Organisation].[AddressLine3]" caption="AddressLine3" attribute="1" defaultMemberUniqueName="[Organisation].[AddressLine3].[All]" allUniqueName="[Organisation].[AddressLine3].[All]" dimensionUniqueName="[Organisation]" displayFolder="" count="0" memberValueDatatype="130" unbalanced="0"/>
    <cacheHierarchy uniqueName="[Organisation].[AddressType]" caption="AddressType" attribute="1" defaultMemberUniqueName="[Organisation].[AddressType].[All]" allUniqueName="[Organisation].[AddressType].[All]" dimensionUniqueName="[Organisation]" displayFolder="" count="0" memberValueDatatype="130" unbalanced="0"/>
    <cacheHierarchy uniqueName="[Organisation].[BaseCurrency]" caption="BaseCurrency" attribute="1" defaultMemberUniqueName="[Organisation].[BaseCurrency].[All]" allUniqueName="[Organisation].[BaseCurrency].[All]" dimensionUniqueName="[Organisation]" displayFolder="" count="0" memberValueDatatype="130" unbalanced="0"/>
    <cacheHierarchy uniqueName="[Organisation].[City]" caption="City" attribute="1" defaultMemberUniqueName="[Organisation].[City].[All]" allUniqueName="[Organisation].[City].[All]" dimensionUniqueName="[Organisation]" displayFolder="" count="0" memberValueDatatype="130" unbalanced="0"/>
    <cacheHierarchy uniqueName="[Organisation].[CountryCode]" caption="CountryCode" attribute="1" defaultMemberUniqueName="[Organisation].[CountryCode].[All]" allUniqueName="[Organisation].[CountryCode].[All]" dimensionUniqueName="[Organisation]" displayFolder="" count="0" memberValueDatatype="130" unbalanced="0"/>
    <cacheHierarchy uniqueName="[Organisation].[CreatedDate]" caption="CreatedDate" attribute="1" time="1" defaultMemberUniqueName="[Organisation].[CreatedDate].[All]" allUniqueName="[Organisation].[CreatedDate].[All]" dimensionUniqueName="[Organisation]" displayFolder="" count="0" memberValueDatatype="7" unbalanced="0"/>
    <cacheHierarchy uniqueName="[Organisation].[CreatedDateUTC]" caption="CreatedDateUTC" attribute="1" time="1" defaultMemberUniqueName="[Organisation].[CreatedDateUTC].[All]" allUniqueName="[Organisation].[CreatedDateUTC].[All]" dimensionUniqueName="[Organisation]" displayFolder="" count="0" memberValueDatatype="7" unbalanced="0"/>
    <cacheHierarchy uniqueName="[Organisation].[DefaultPurchasesTax]" caption="DefaultPurchasesTax" attribute="1" defaultMemberUniqueName="[Organisation].[DefaultPurchasesTax].[All]" allUniqueName="[Organisation].[DefaultPurchasesTax].[All]" dimensionUniqueName="[Organisation]" displayFolder="" count="0" memberValueDatatype="130" unbalanced="0"/>
    <cacheHierarchy uniqueName="[Organisation].[DefaultSalesTax]" caption="DefaultSalesTax" attribute="1" defaultMemberUniqueName="[Organisation].[DefaultSalesTax].[All]" allUniqueName="[Organisation].[DefaultSalesTax].[All]" dimensionUniqueName="[Organisation]" displayFolder="" count="0" memberValueDatatype="130" unbalanced="0"/>
    <cacheHierarchy uniqueName="[Organisation].[EndOfYearLockDate]" caption="EndOfYearLockDate" attribute="1" defaultMemberUniqueName="[Organisation].[EndOfYearLockDate].[All]" allUniqueName="[Organisation].[EndOfYearLockDate].[All]" dimensionUniqueName="[Organisation]" displayFolder="" count="0" memberValueDatatype="130" unbalanced="0"/>
    <cacheHierarchy uniqueName="[Organisation].[FinancialYearEndDay]" caption="FinancialYearEndDay" attribute="1" defaultMemberUniqueName="[Organisation].[FinancialYearEndDay].[All]" allUniqueName="[Organisation].[FinancialYearEndDay].[All]" dimensionUniqueName="[Organisation]" displayFolder="" count="0" memberValueDatatype="20" unbalanced="0"/>
    <cacheHierarchy uniqueName="[Organisation].[FinancialYearEndMonth]" caption="FinancialYearEndMonth" attribute="1" defaultMemberUniqueName="[Organisation].[FinancialYearEndMonth].[All]" allUniqueName="[Organisation].[FinancialYearEndMonth].[All]" dimensionUniqueName="[Organisation]" displayFolder="" count="0" memberValueDatatype="20" unbalanced="0"/>
    <cacheHierarchy uniqueName="[Organisation].[LegalName]" caption="LegalName" attribute="1" defaultMemberUniqueName="[Organisation].[LegalName].[All]" allUniqueName="[Organisation].[LegalName].[All]" dimensionUniqueName="[Organisation]" displayFolder="" count="2" memberValueDatatype="130" unbalanced="0">
      <fieldsUsage count="2">
        <fieldUsage x="-1"/>
        <fieldUsage x="1"/>
      </fieldsUsage>
    </cacheHierarchy>
    <cacheHierarchy uniqueName="[Organisation].[LineOfBusiness]" caption="LineOfBusiness" attribute="1" defaultMemberUniqueName="[Organisation].[LineOfBusiness].[All]" allUniqueName="[Organisation].[LineOfBusiness].[All]" dimensionUniqueName="[Organisation]" displayFolder="" count="0" memberValueDatatype="130" unbalanced="0"/>
    <cacheHierarchy uniqueName="[Organisation].[Organisation Name]" caption="Organisation Name" attribute="1" defaultMemberUniqueName="[Organisation].[Organisation Name].[All]" allUniqueName="[Organisation].[Organisation Name].[All]" dimensionUniqueName="[Organisation]" displayFolder="" count="0" memberValueDatatype="130" unbalanced="0"/>
    <cacheHierarchy uniqueName="[Organisation].[Organisation_ID]" caption="Organisation_ID" attribute="1" defaultMemberUniqueName="[Organisation].[Organisation_ID].[All]" allUniqueName="[Organisation].[Organisation_ID].[All]" dimensionUniqueName="[Organisation]" displayFolder="" count="0" memberValueDatatype="20" unbalanced="0"/>
    <cacheHierarchy uniqueName="[Organisation].[OrganisationEntityType]" caption="OrganisationEntityType" attribute="1" defaultMemberUniqueName="[Organisation].[OrganisationEntityType].[All]" allUniqueName="[Organisation].[OrganisationEntityType].[All]" dimensionUniqueName="[Organisation]" displayFolder="" count="0" memberValueDatatype="130" unbalanced="0"/>
    <cacheHierarchy uniqueName="[Organisation].[OrgStatus]" caption="OrgStatus" attribute="1" defaultMemberUniqueName="[Organisation].[OrgStatus].[All]" allUniqueName="[Organisation].[OrgStatus].[All]" dimensionUniqueName="[Organisation]" displayFolder="" count="0" memberValueDatatype="11" unbalanced="0"/>
    <cacheHierarchy uniqueName="[Organisation].[OrgType]" caption="OrgType" attribute="1" defaultMemberUniqueName="[Organisation].[OrgType].[All]" allUniqueName="[Organisation].[OrgType].[All]" dimensionUniqueName="[Organisation]" displayFolder="" count="0" memberValueDatatype="130" unbalanced="0"/>
    <cacheHierarchy uniqueName="[Organisation].[Ownership]" caption="Ownership" attribute="1" defaultMemberUniqueName="[Organisation].[Ownership].[All]" allUniqueName="[Organisation].[Ownership].[All]" dimensionUniqueName="[Organisation]" displayFolder="" count="0" memberValueDatatype="130" unbalanced="0"/>
    <cacheHierarchy uniqueName="[Organisation].[Parent]" caption="Parent" attribute="1" defaultMemberUniqueName="[Organisation].[Parent].[All]" allUniqueName="[Organisation].[Parent].[All]" dimensionUniqueName="[Organisation]" displayFolder="" count="0" memberValueDatatype="130" unbalanced="0"/>
    <cacheHierarchy uniqueName="[Organisation].[PaymentTermSaleType]" caption="PaymentTermSaleType" attribute="1" defaultMemberUniqueName="[Organisation].[PaymentTermSaleType].[All]" allUniqueName="[Organisation].[PaymentTermSaleType].[All]" dimensionUniqueName="[Organisation]" displayFolder="" count="0" memberValueDatatype="130" unbalanced="0"/>
    <cacheHierarchy uniqueName="[Organisation].[PaymentTermsBillDay]" caption="PaymentTermsBillDay" attribute="1" defaultMemberUniqueName="[Organisation].[PaymentTermsBillDay].[All]" allUniqueName="[Organisation].[PaymentTermsBillDay].[All]" dimensionUniqueName="[Organisation]" displayFolder="" count="0" memberValueDatatype="20" unbalanced="0"/>
    <cacheHierarchy uniqueName="[Organisation].[PaymentTermsBillType]" caption="PaymentTermsBillType" attribute="1" defaultMemberUniqueName="[Organisation].[PaymentTermsBillType].[All]" allUniqueName="[Organisation].[PaymentTermsBillType].[All]" dimensionUniqueName="[Organisation]" displayFolder="" count="0" memberValueDatatype="130" unbalanced="0"/>
    <cacheHierarchy uniqueName="[Organisation].[PaymentTermsSaleDay]" caption="PaymentTermsSaleDay" attribute="1" defaultMemberUniqueName="[Organisation].[PaymentTermsSaleDay].[All]" allUniqueName="[Organisation].[PaymentTermsSaleDay].[All]" dimensionUniqueName="[Organisation]" displayFolder="" count="0" memberValueDatatype="20" unbalanced="0"/>
    <cacheHierarchy uniqueName="[Organisation].[PaysTax]" caption="PaysTax" attribute="1" defaultMemberUniqueName="[Organisation].[PaysTax].[All]" allUniqueName="[Organisation].[PaysTax].[All]" dimensionUniqueName="[Organisation]" displayFolder="" count="0" memberValueDatatype="11" unbalanced="0"/>
    <cacheHierarchy uniqueName="[Organisation].[PeriodLockDate]" caption="PeriodLockDate" attribute="1" time="1" defaultMemberUniqueName="[Organisation].[PeriodLockDate].[All]" allUniqueName="[Organisation].[PeriodLockDate].[All]" dimensionUniqueName="[Organisation]" displayFolder="" count="0" memberValueDatatype="7" unbalanced="0"/>
    <cacheHierarchy uniqueName="[Organisation].[PhoneAreaCode]" caption="PhoneAreaCode" attribute="1" defaultMemberUniqueName="[Organisation].[PhoneAreaCode].[All]" allUniqueName="[Organisation].[PhoneAreaCode].[All]" dimensionUniqueName="[Organisation]" displayFolder="" count="0" memberValueDatatype="20" unbalanced="0"/>
    <cacheHierarchy uniqueName="[Organisation].[PhoneCountryCode]" caption="PhoneCountryCode" attribute="1" defaultMemberUniqueName="[Organisation].[PhoneCountryCode].[All]" allUniqueName="[Organisation].[PhoneCountryCode].[All]" dimensionUniqueName="[Organisation]" displayFolder="" count="0" memberValueDatatype="130" unbalanced="0"/>
    <cacheHierarchy uniqueName="[Organisation].[PhoneNumber]" caption="PhoneNumber" attribute="1" defaultMemberUniqueName="[Organisation].[PhoneNumber].[All]" allUniqueName="[Organisation].[PhoneNumber].[All]" dimensionUniqueName="[Organisation]" displayFolder="" count="0" memberValueDatatype="130" unbalanced="0"/>
    <cacheHierarchy uniqueName="[Organisation].[PhoneType]" caption="PhoneType" attribute="1" defaultMemberUniqueName="[Organisation].[PhoneType].[All]" allUniqueName="[Organisation].[PhoneType].[All]" dimensionUniqueName="[Organisation]" displayFolder="" count="0" memberValueDatatype="130" unbalanced="0"/>
    <cacheHierarchy uniqueName="[Organisation].[PostalCode]" caption="PostalCode" attribute="1" defaultMemberUniqueName="[Organisation].[PostalCode].[All]" allUniqueName="[Organisation].[PostalCode].[All]" dimensionUniqueName="[Organisation]" displayFolder="" count="0" memberValueDatatype="130" unbalanced="0"/>
    <cacheHierarchy uniqueName="[Organisation].[RegistrationNumber]" caption="RegistrationNumber" attribute="1" defaultMemberUniqueName="[Organisation].[RegistrationNumber].[All]" allUniqueName="[Organisation].[RegistrationNumber].[All]" dimensionUniqueName="[Organisation]" displayFolder="" count="0" memberValueDatatype="20" unbalanced="0"/>
    <cacheHierarchy uniqueName="[Organisation].[SalesTaxBasisType]" caption="SalesTaxBasisType" attribute="1" defaultMemberUniqueName="[Organisation].[SalesTaxBasisType].[All]" allUniqueName="[Organisation].[SalesTaxBasisType].[All]" dimensionUniqueName="[Organisation]" displayFolder="" count="0" memberValueDatatype="130" unbalanced="0"/>
    <cacheHierarchy uniqueName="[Organisation].[SalestaxPeriod]" caption="SalestaxPeriod" attribute="1" defaultMemberUniqueName="[Organisation].[SalestaxPeriod].[All]" allUniqueName="[Organisation].[SalestaxPeriod].[All]" dimensionUniqueName="[Organisation]" displayFolder="" count="0" memberValueDatatype="130" unbalanced="0"/>
    <cacheHierarchy uniqueName="[Organisation].[TaxNumber]" caption="TaxNumber" attribute="1" defaultMemberUniqueName="[Organisation].[TaxNumber].[All]" allUniqueName="[Organisation].[TaxNumber].[All]" dimensionUniqueName="[Organisation]" displayFolder="" count="0" memberValueDatatype="130" unbalanced="0"/>
    <cacheHierarchy uniqueName="[Organisation].[Timezone]" caption="Timezone" attribute="1" defaultMemberUniqueName="[Organisation].[Timezone].[All]" allUniqueName="[Organisation].[Timezone].[All]" dimensionUniqueName="[Organisation]" displayFolder="" count="0" memberValueDatatype="130" unbalanced="0"/>
    <cacheHierarchy uniqueName="[Organisation].[Version]" caption="Version" attribute="1" defaultMemberUniqueName="[Organisation].[Version].[All]" allUniqueName="[Organisation].[Version].[All]" dimensionUniqueName="[Organisation]" displayFolder="" count="0" memberValueDatatype="130" unbalanced="0"/>
    <cacheHierarchy uniqueName="[Report Structure].[CalcType]" caption="CalcType" attribute="1" defaultMemberUniqueName="[Report Structure].[CalcType].[All]" allUniqueName="[Report Structure].[CalcType].[All]" dimensionUniqueName="[Report Structure]" displayFolder="" count="0" memberValueDatatype="130" unbalanced="0"/>
    <cacheHierarchy uniqueName="[Report Structure].[Header]" caption="Header" attribute="1" defaultMemberUniqueName="[Report Structure].[Header].[All]" allUniqueName="[Report Structure].[Header].[All]" dimensionUniqueName="[Report Structure]" displayFolder="" count="0" memberValueDatatype="130" unbalanced="0"/>
    <cacheHierarchy uniqueName="[Report Structure].[Order]" caption="Order" attribute="1" defaultMemberUniqueName="[Report Structure].[Order].[All]" allUniqueName="[Report Structure].[Order].[All]" dimensionUniqueName="[Report Structure]" displayFolder="" count="0" memberValueDatatype="20" unbalanced="0"/>
    <cacheHierarchy uniqueName="[Report Structure].[Statement]" caption="Statement" attribute="1" defaultMemberUniqueName="[Report Structure].[Statement].[All]" allUniqueName="[Report Structure].[Statement].[All]" dimensionUniqueName="[Report Structure]" displayFolder="" count="0" memberValueDatatype="130" unbalanced="0"/>
    <cacheHierarchy uniqueName="[Scenario].[Scenario]" caption="Scenario" attribute="1" defaultMemberUniqueName="[Scenario].[Scenario].[All]" allUniqueName="[Scenario].[Scenario].[All]" dimensionUniqueName="[Scenario]" displayFolder="" count="0" memberValueDatatype="130" unbalanced="0"/>
    <cacheHierarchy uniqueName="[Transactions].[Account_ID]" caption="Account_ID" attribute="1" defaultMemberUniqueName="[Transactions].[Account_ID].[All]" allUniqueName="[Transactions].[Account_ID].[All]" dimensionUniqueName="[Transactions]" displayFolder="" count="0" memberValueDatatype="130" unbalanced="0"/>
    <cacheHierarchy uniqueName="[Transactions].[AccountClass]" caption="AccountClass" attribute="1" defaultMemberUniqueName="[Transactions].[AccountClass].[All]" allUniqueName="[Transactions].[AccountClass].[All]" dimensionUniqueName="[Transactions]" displayFolder="" count="0" memberValueDatatype="130" unbalanced="0"/>
    <cacheHierarchy uniqueName="[Transactions].[AccountCode]" caption="AccountCode" attribute="1" defaultMemberUniqueName="[Transactions].[AccountCode].[All]" allUniqueName="[Transactions].[AccountCode].[All]" dimensionUniqueName="[Transactions]" displayFolder="" count="0" memberValueDatatype="20" unbalanced="0"/>
    <cacheHierarchy uniqueName="[Transactions].[Balance]" caption="Balance" attribute="1" defaultMemberUniqueName="[Transactions].[Balance].[All]" allUniqueName="[Transactions].[Balance].[All]" dimensionUniqueName="[Transactions]" displayFolder="" count="0" memberValueDatatype="5" unbalanced="0"/>
    <cacheHierarchy uniqueName="[Transactions].[BaseCurrency]" caption="BaseCurrency" attribute="1" defaultMemberUniqueName="[Transactions].[BaseCurrency].[All]" allUniqueName="[Transactions].[BaseCurrency].[All]" dimensionUniqueName="[Transactions]" displayFolder="" count="0" memberValueDatatype="130" unbalanced="0"/>
    <cacheHierarchy uniqueName="[Transactions].[CreatedOrUpdatedDateUTC]" caption="CreatedOrUpdatedDateUTC" attribute="1" time="1" defaultMemberUniqueName="[Transactions].[CreatedOrUpdatedDateUTC].[All]" allUniqueName="[Transactions].[CreatedOrUpdatedDateUTC].[All]" dimensionUniqueName="[Transactions]" displayFolder="" count="0" memberValueDatatype="7" unbalanced="0"/>
    <cacheHierarchy uniqueName="[Transactions].[Date]" caption="Date" attribute="1" time="1" defaultMemberUniqueName="[Transactions].[Date].[All]" allUniqueName="[Transactions].[Date].[All]" dimensionUniqueName="[Transactions]" displayFolder="" count="0" memberValueDatatype="7" unbalanced="0"/>
    <cacheHierarchy uniqueName="[Transactions].[GrossAmt_GC]" caption="GrossAmt_GC" attribute="1" defaultMemberUniqueName="[Transactions].[GrossAmt_GC].[All]" allUniqueName="[Transactions].[GrossAmt_GC].[All]" dimensionUniqueName="[Transactions]" displayFolder="" count="0" memberValueDatatype="5" unbalanced="0"/>
    <cacheHierarchy uniqueName="[Transactions].[GrossAmt_LC]" caption="GrossAmt_LC" attribute="1" defaultMemberUniqueName="[Transactions].[GrossAmt_LC].[All]" allUniqueName="[Transactions].[GrossAmt_LC].[All]" dimensionUniqueName="[Transactions]" displayFolder="" count="0" memberValueDatatype="5" unbalanced="0"/>
    <cacheHierarchy uniqueName="[Transactions].[Group_FXRate]" caption="Group_FXRate" attribute="1" defaultMemberUniqueName="[Transactions].[Group_FXRate].[All]" allUniqueName="[Transactions].[Group_FXRate].[All]" dimensionUniqueName="[Transactions]" displayFolder="" count="0" memberValueDatatype="20" unbalanced="0"/>
    <cacheHierarchy uniqueName="[Transactions].[JID]" caption="JID" attribute="1" defaultMemberUniqueName="[Transactions].[JID].[All]" allUniqueName="[Transactions].[JID].[All]" dimensionUniqueName="[Transactions]" displayFolder="" count="0" memberValueDatatype="130" unbalanced="0"/>
    <cacheHierarchy uniqueName="[Transactions].[Month]" caption="Month" attribute="1" defaultMemberUniqueName="[Transactions].[Month].[All]" allUniqueName="[Transactions].[Month].[All]" dimensionUniqueName="[Transactions]" displayFolder="" count="0" memberValueDatatype="130" unbalanced="0"/>
    <cacheHierarchy uniqueName="[Transactions].[Months]" caption="Months" attribute="1" defaultMemberUniqueName="[Transactions].[Months].[All]" allUniqueName="[Transactions].[Months].[All]" dimensionUniqueName="[Transactions]" displayFolder="" count="0" memberValueDatatype="130" unbalanced="0"/>
    <cacheHierarchy uniqueName="[Transactions].[NetAmount_GC]" caption="NetAmount_GC" attribute="1" defaultMemberUniqueName="[Transactions].[NetAmount_GC].[All]" allUniqueName="[Transactions].[NetAmount_GC].[All]" dimensionUniqueName="[Transactions]" displayFolder="" count="0" memberValueDatatype="5" unbalanced="0"/>
    <cacheHierarchy uniqueName="[Transactions].[NetAmount_LC]" caption="NetAmount_LC" attribute="1" defaultMemberUniqueName="[Transactions].[NetAmount_LC].[All]" allUniqueName="[Transactions].[NetAmount_LC].[All]" dimensionUniqueName="[Transactions]" displayFolder="" count="0" memberValueDatatype="5" unbalanced="0"/>
    <cacheHierarchy uniqueName="[Transactions].[Organisation_ID]" caption="Organisation_ID" attribute="1" defaultMemberUniqueName="[Transactions].[Organisation_ID].[All]" allUniqueName="[Transactions].[Organisation_ID].[All]" dimensionUniqueName="[Transactions]" displayFolder="" count="0" memberValueDatatype="130" unbalanced="0"/>
    <cacheHierarchy uniqueName="[Transactions].[Reference]" caption="Reference" attribute="1" defaultMemberUniqueName="[Transactions].[Reference].[All]" allUniqueName="[Transactions].[Reference].[All]" dimensionUniqueName="[Transactions]" displayFolder="" count="0" memberValueDatatype="130" unbalanced="0"/>
    <cacheHierarchy uniqueName="[Transactions].[Scenario]" caption="Scenario" attribute="1" defaultMemberUniqueName="[Transactions].[Scenario].[All]" allUniqueName="[Transactions].[Scenario].[All]" dimensionUniqueName="[Transactions]" displayFolder="" count="0" memberValueDatatype="130" unbalanced="0"/>
    <cacheHierarchy uniqueName="[Transactions].[TaxName]" caption="TaxName" attribute="1" defaultMemberUniqueName="[Transactions].[TaxName].[All]" allUniqueName="[Transactions].[TaxName].[All]" dimensionUniqueName="[Transactions]" displayFolder="" count="0" memberValueDatatype="130" unbalanced="0"/>
    <cacheHierarchy uniqueName="[Transactions].[TaxType]" caption="TaxType" attribute="1" defaultMemberUniqueName="[Transactions].[TaxType].[All]" allUniqueName="[Transactions].[TaxType].[All]" dimensionUniqueName="[Transactions]" displayFolder="" count="0" memberValueDatatype="130" unbalanced="0"/>
    <cacheHierarchy uniqueName="[Transactions].[Years]" caption="Years" attribute="1" defaultMemberUniqueName="[Transactions].[Years].[All]" allUniqueName="[Transactions].[Years].[All]" dimensionUniqueName="[Transactions]" displayFolder="" count="0" memberValueDatatype="130" unbalanced="0"/>
    <cacheHierarchy uniqueName="[Measures].[Filtered]" caption="Filtered" measure="1" displayFolder="" measureGroup="Accounts" count="0"/>
    <cacheHierarchy uniqueName="[Measures].[Total Revenue]" caption="Total Revenue" measure="1" displayFolder="" measureGroup="Transactions" count="0"/>
    <cacheHierarchy uniqueName="[Measures].[%Sales]" caption="%Sales" measure="1" displayFolder="" measureGroup="Transactions" count="0"/>
    <cacheHierarchy uniqueName="[Measures].[ACT]" caption="ACT" measure="1" displayFolder="" measureGroup="Transactions" count="0"/>
    <cacheHierarchy uniqueName="[Measures].[VAR]" caption="VAR" measure="1" displayFolder="" measureGroup="Transactions" count="0"/>
    <cacheHierarchy uniqueName="[Measures].[VAR %]" caption="VAR %" measure="1" displayFolder="" measureGroup="Transactions" count="0"/>
    <cacheHierarchy uniqueName="[Measures].[PY ACT]" caption="PY ACT" measure="1" displayFolder="" measureGroup="Transactions" count="0"/>
    <cacheHierarchy uniqueName="[Measures].[YTD ACT]" caption="YTD ACT" measure="1" displayFolder="" measureGroup="Transactions" count="0"/>
    <cacheHierarchy uniqueName="[Measures].[Running Total]" caption="Running Total" measure="1" displayFolder="" measureGroup="Transactions" count="0"/>
    <cacheHierarchy uniqueName="[Measures].[Report Value]" caption="Report Value" measure="1" displayFolder="" measureGroup="Transactions" count="0"/>
    <cacheHierarchy uniqueName="[Measures].[Balance sheet]" caption="Balance sheet" measure="1" displayFolder="" measureGroup="Transactions" count="0"/>
    <cacheHierarchy uniqueName="[Measures].[showYear]" caption="showYear" measure="1" displayFolder="" measureGroup="Transactions" count="0"/>
    <cacheHierarchy uniqueName="[Measures].[BUD]" caption="BUD" measure="1" displayFolder="" measureGroup="Transactions" count="0"/>
    <cacheHierarchy uniqueName="[Measures].[Asymmetric]" caption="Asymmetric" measure="1" displayFolder="" measureGroup="Transactions" count="0"/>
    <cacheHierarchy uniqueName="[Measures].[Rolling Forecast]" caption="Rolling Forecast" measure="1" displayFolder="" measureGroup="Transactions" count="0"/>
    <cacheHierarchy uniqueName="[Measures].[DAX ACT ex Calender]" caption="DAX ACT ex Calender" measure="1" displayFolder="" measureGroup="Transactions" count="0"/>
    <cacheHierarchy uniqueName="[Measures].[Header Order]" caption="Header Order" measure="1" displayFolder="" measureGroup="Report Structure" count="0"/>
    <cacheHierarchy uniqueName="[Measures].[__Default measure]" caption="__Default measure" measure="1" displayFolder="" count="0" hidden="1"/>
  </cacheHierarchies>
  <kpis count="0"/>
  <dimensions count="10">
    <dimension name="Accounts" uniqueName="[Accounts]" caption="Accounts"/>
    <dimension name="Asymmetric" uniqueName="[Asymmetric]" caption="Asymmetric"/>
    <dimension name="Budget" uniqueName="[Budget]" caption="Budget"/>
    <dimension name="Calendar" uniqueName="[Calendar]" caption="Calendar"/>
    <dimension name="Closing Date" uniqueName="[Closing Date]" caption="Closing Date"/>
    <dimension measure="1" name="Measures" uniqueName="[Measures]" caption="Measures"/>
    <dimension name="Organisation" uniqueName="[Organisation]" caption="Organisation"/>
    <dimension name="Report Structure" uniqueName="[Report Structure]" caption="Report Structure"/>
    <dimension name="Scenario" uniqueName="[Scenario]" caption="Scenario"/>
    <dimension name="Transactions" uniqueName="[Transactions]" caption="Transactions"/>
  </dimensions>
  <measureGroups count="9">
    <measureGroup name="Accounts" caption="Accounts"/>
    <measureGroup name="Asymmetric" caption="Asymmetric"/>
    <measureGroup name="Budget" caption="Budget"/>
    <measureGroup name="Calendar" caption="Calendar"/>
    <measureGroup name="Closing Date" caption="Closing Date"/>
    <measureGroup name="Organisation" caption="Organisation"/>
    <measureGroup name="Report Structure" caption="Report Structure"/>
    <measureGroup name="Scenario" caption="Scenario"/>
    <measureGroup name="Transactions" caption="Transactions"/>
  </measureGroups>
  <maps count="20">
    <map measureGroup="0" dimension="0"/>
    <map measureGroup="0" dimension="7"/>
    <map measureGroup="1" dimension="1"/>
    <map measureGroup="2" dimension="0"/>
    <map measureGroup="2" dimension="2"/>
    <map measureGroup="2" dimension="3"/>
    <map measureGroup="2" dimension="6"/>
    <map measureGroup="2" dimension="7"/>
    <map measureGroup="3" dimension="3"/>
    <map measureGroup="4" dimension="4"/>
    <map measureGroup="5" dimension="6"/>
    <map measureGroup="6" dimension="7"/>
    <map measureGroup="7" dimension="8"/>
    <map measureGroup="8" dimension="0"/>
    <map measureGroup="8" dimension="1"/>
    <map measureGroup="8" dimension="3"/>
    <map measureGroup="8" dimension="6"/>
    <map measureGroup="8" dimension="7"/>
    <map measureGroup="8" dimension="8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F7FEC3-36D1-43AA-8B9A-7A1E515BFCAD}" name="PivotTable1" cacheId="53" applyNumberFormats="0" applyBorderFormats="0" applyFontFormats="0" applyPatternFormats="0" applyAlignmentFormats="0" applyWidthHeightFormats="1" dataCaption="Values" grandTotalCaption="EBIT" updatedVersion="8" minRefreshableVersion="3" itemPrintTitles="1" createdVersion="6" indent="0" outline="1" outlineData="1" multipleFieldFilters="0" fieldListSortAscending="1">
  <location ref="B5" firstHeaderRow="0" firstDataRow="0" firstDataCol="0" rowPageCount="2" colPageCount="1"/>
  <pivotFields count="2">
    <pivotField axis="axisPage" allDrilled="1" showAll="0" dataSourceSort="1" defaultAttributeDrillState="1">
      <items count="1">
        <item t="default"/>
      </items>
    </pivotField>
    <pivotField axis="axisPage" allDrilled="1" showAll="0" dataSourceSort="1" defaultAttributeDrillState="1">
      <items count="1">
        <item t="default"/>
      </items>
    </pivotField>
  </pivotFields>
  <pageFields count="2">
    <pageField fld="0" hier="15" name="[Accounts].[Statement].&amp;[PL]" cap="PL"/>
    <pageField fld="1" hier="67" name="[Organisation].[LegalName].[All]" cap="All"/>
  </pageFields>
  <pivotHierarchies count="137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584DF3-564A-4AC0-B174-9827707B19CD}" name="PivotTable1" cacheId="46" applyNumberFormats="0" applyBorderFormats="0" applyFontFormats="0" applyPatternFormats="0" applyAlignmentFormats="0" applyWidthHeightFormats="1" dataCaption="Values" grandTotalCaption="EBIT" updatedVersion="8" minRefreshableVersion="3" useAutoFormatting="1" subtotalHiddenItems="1" itemPrintTitles="1" createdVersion="6" indent="0" outline="1" outlineData="1" multipleFieldFilters="0" fieldListSortAscending="1">
  <location ref="B5:D38" firstHeaderRow="1" firstDataRow="2" firstDataCol="1" rowPageCount="2" colPageCount="1"/>
  <pivotFields count="6">
    <pivotField axis="axisRow" allDrilled="1" showAll="0" dataSourceSort="1" defaultAttributeDrillState="1">
      <items count="6">
        <item x="0"/>
        <item x="1"/>
        <item x="2"/>
        <item x="3" e="0"/>
        <item x="4"/>
        <item t="default"/>
      </items>
    </pivotField>
    <pivotField axis="axisRow" allDrilled="1" showAll="0" dataSourceSort="1" defaultAttributeDrillState="1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dataField="1" showAll="0"/>
    <pivotField dataField="1" showAll="0"/>
    <pivotField axis="axisPage" allDrilled="1" showAll="0" dataSourceSort="1" defaultAttributeDrillState="1">
      <items count="1">
        <item t="default"/>
      </items>
    </pivotField>
    <pivotField axis="axisPage" allDrilled="1" showAll="0" dataSourceSort="1" defaultAttributeDrillState="1">
      <items count="1">
        <item t="default"/>
      </items>
    </pivotField>
  </pivotFields>
  <rowFields count="2">
    <field x="0"/>
    <field x="1"/>
  </rowFields>
  <rowItems count="32">
    <i>
      <x/>
    </i>
    <i r="1">
      <x/>
    </i>
    <i r="1">
      <x v="1"/>
    </i>
    <i>
      <x v="1"/>
    </i>
    <i r="1">
      <x v="2"/>
    </i>
    <i r="1">
      <x v="3"/>
    </i>
    <i>
      <x v="2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3"/>
    </i>
    <i>
      <x v="4"/>
    </i>
    <i r="1">
      <x v="25"/>
    </i>
    <i t="grand">
      <x/>
    </i>
  </rowItems>
  <colFields count="1">
    <field x="-2"/>
  </colFields>
  <colItems count="2">
    <i>
      <x/>
    </i>
    <i i="1">
      <x v="1"/>
    </i>
  </colItems>
  <pageFields count="2">
    <pageField fld="4" hier="15" name="[Accounts].[Statement].&amp;[PL]" cap="PL"/>
    <pageField fld="5" hier="67" name="[Organisation].[LegalName].[All]" cap="All"/>
  </pageFields>
  <dataFields count="2">
    <dataField fld="2" baseField="0" baseItem="0"/>
    <dataField fld="3" baseField="0" baseItem="0"/>
  </dataFields>
  <pivotHierarchies count="137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17"/>
    <rowHierarchyUsage hierarchyUsage="11"/>
  </rowHierarchiesUsage>
  <colHierarchiesUsage count="1">
    <colHierarchyUsage hierarchyUsage="-2"/>
  </colHierarchiesUsage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49F24A-51E7-408D-83AE-394C079AC8FB}" name="PivotTable1" cacheId="49" applyNumberFormats="0" applyBorderFormats="0" applyFontFormats="0" applyPatternFormats="0" applyAlignmentFormats="0" applyWidthHeightFormats="1" dataCaption="Values" grandTotalCaption="EBIT" updatedVersion="8" minRefreshableVersion="3" subtotalHiddenItems="1" itemPrintTitles="1" createdVersion="6" indent="0" outline="1" outlineData="1" multipleFieldFilters="0" fieldListSortAscending="1">
  <location ref="B5" firstHeaderRow="0" firstDataRow="0" firstDataCol="0" rowPageCount="2" colPageCount="1"/>
  <pivotFields count="2">
    <pivotField axis="axisPage" allDrilled="1" showAll="0" dataSourceSort="1" defaultAttributeDrillState="1">
      <items count="1">
        <item t="default"/>
      </items>
    </pivotField>
    <pivotField axis="axisPage" allDrilled="1" showAll="0" dataSourceSort="1" defaultAttributeDrillState="1">
      <items count="1">
        <item t="default"/>
      </items>
    </pivotField>
  </pivotFields>
  <pageFields count="2">
    <pageField fld="0" hier="15" name="[Accounts].[Statement].&amp;[PL]" cap="PL"/>
    <pageField fld="1" hier="67" name="[Organisation].[LegalName].[All]" cap="All"/>
  </pageFields>
  <pivotHierarchies count="137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0C4F0B-58D3-4CB3-9C77-9E7B7C4BC246}" name="PivotTable1" cacheId="59" applyNumberFormats="0" applyBorderFormats="0" applyFontFormats="0" applyPatternFormats="0" applyAlignmentFormats="0" applyWidthHeightFormats="1" dataCaption="Values" grandTotalCaption="EBIT" updatedVersion="8" minRefreshableVersion="3" useAutoFormatting="1" subtotalHiddenItems="1" itemPrintTitles="1" createdVersion="6" indent="0" showEmptyCol="1" outline="1" outlineData="1" multipleFieldFilters="0" fieldListSortAscending="1">
  <location ref="B6:AB34" firstHeaderRow="1" firstDataRow="3" firstDataCol="1" rowPageCount="3" colPageCount="1"/>
  <pivotFields count="8">
    <pivotField axis="axisRow" allDrilled="1" showAll="0" dataSourceSort="1" defaultAttributeDrillState="1">
      <items count="5">
        <item x="0"/>
        <item x="1"/>
        <item x="2"/>
        <item x="3" e="0"/>
        <item t="default"/>
      </items>
    </pivotField>
    <pivotField axis="axisRow" allDrilled="1" showAll="0" dataSourceSort="1" defaultAttributeDrillState="1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dataField="1" showAll="0"/>
    <pivotField dataField="1" showAll="0"/>
    <pivotField axis="axisPage" allDrilled="1" showAll="0" dataSourceSort="1" defaultAttributeDrillState="1">
      <items count="1">
        <item t="default"/>
      </items>
    </pivotField>
    <pivotField axis="axisPage" allDrilled="1" showAll="0" dataSourceSort="1" defaultAttributeDrillState="1">
      <items count="1">
        <item t="default"/>
      </items>
    </pivotField>
    <pivotField axis="axisPage" allDrilled="1" showAll="0" dataSourceSort="1" defaultAttributeDrillState="1">
      <items count="1">
        <item t="default"/>
      </items>
    </pivotField>
    <pivotField axis="axisCol" allDrilled="1" showAll="0" dataSourceSort="1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2">
    <field x="0"/>
    <field x="1"/>
  </rowFields>
  <rowItems count="26">
    <i>
      <x/>
    </i>
    <i r="1">
      <x/>
    </i>
    <i r="1">
      <x v="1"/>
    </i>
    <i>
      <x v="1"/>
    </i>
    <i r="1">
      <x v="2"/>
    </i>
    <i r="1">
      <x v="3"/>
    </i>
    <i>
      <x v="2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>
      <x v="3"/>
    </i>
    <i t="grand">
      <x/>
    </i>
  </rowItems>
  <colFields count="2">
    <field x="7"/>
    <field x="-2"/>
  </colFields>
  <colItems count="26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>
      <x v="5"/>
      <x/>
    </i>
    <i r="1" i="1">
      <x v="1"/>
    </i>
    <i>
      <x v="6"/>
      <x/>
    </i>
    <i r="1" i="1">
      <x v="1"/>
    </i>
    <i>
      <x v="7"/>
      <x/>
    </i>
    <i r="1" i="1">
      <x v="1"/>
    </i>
    <i>
      <x v="8"/>
      <x/>
    </i>
    <i r="1" i="1">
      <x v="1"/>
    </i>
    <i>
      <x v="9"/>
      <x/>
    </i>
    <i r="1" i="1">
      <x v="1"/>
    </i>
    <i>
      <x v="10"/>
      <x/>
    </i>
    <i r="1" i="1">
      <x v="1"/>
    </i>
    <i>
      <x v="11"/>
      <x/>
    </i>
    <i r="1" i="1">
      <x v="1"/>
    </i>
    <i t="grand">
      <x/>
    </i>
    <i t="grand" i="1">
      <x/>
    </i>
  </colItems>
  <pageFields count="3">
    <pageField fld="4" hier="15" name="[Accounts].[Statement].&amp;[PL]" cap="PL"/>
    <pageField fld="5" hier="67" name="[Organisation].[LegalName].[All]" cap="All"/>
    <pageField fld="6" hier="45" name="[Calendar].[Year].&amp;[2021]" cap="2021"/>
  </pageFields>
  <dataFields count="2">
    <dataField fld="2" baseField="0" baseItem="0"/>
    <dataField fld="3" baseField="0" baseItem="0"/>
  </dataFields>
  <pivotHierarchies count="137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17"/>
    <rowHierarchyUsage hierarchyUsage="11"/>
  </rowHierarchiesUsage>
  <colHierarchiesUsage count="2">
    <colHierarchyUsage hierarchyUsage="46"/>
    <colHierarchyUsage hierarchyUsage="-2"/>
  </colHierarchiesUsage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EE5013-A953-4583-8E86-E9361E071591}" name="PivotTable1" cacheId="66" applyNumberFormats="0" applyBorderFormats="0" applyFontFormats="0" applyPatternFormats="0" applyAlignmentFormats="0" applyWidthHeightFormats="1" dataCaption="Values" grandTotalCaption="EBIT" updatedVersion="8" minRefreshableVersion="3" subtotalHiddenItems="1" itemPrintTitles="1" createdVersion="6" indent="0" showEmptyCol="1" outline="1" outlineData="1" multipleFieldFilters="0" fieldListSortAscending="1">
  <location ref="B6" firstHeaderRow="0" firstDataRow="0" firstDataCol="0" rowPageCount="3" colPageCount="1"/>
  <pivotFields count="3">
    <pivotField axis="axisPage" allDrilled="1" showAll="0" dataSourceSort="1" defaultAttributeDrillState="1">
      <items count="1">
        <item t="default"/>
      </items>
    </pivotField>
    <pivotField axis="axisPage" allDrilled="1" showAll="0" dataSourceSort="1" defaultAttributeDrillState="1">
      <items count="1">
        <item t="default"/>
      </items>
    </pivotField>
    <pivotField axis="axisPage" allDrilled="1" showAll="0" dataSourceSort="1" defaultAttributeDrillState="1">
      <items count="1">
        <item t="default"/>
      </items>
    </pivotField>
  </pivotFields>
  <pageFields count="3">
    <pageField fld="0" hier="15" name="[Accounts].[Statement].&amp;[PL]" cap="PL"/>
    <pageField fld="1" hier="67" name="[Organisation].[LegalName].[All]" cap="All"/>
    <pageField fld="2" hier="45" name="[Calendar].[Year].&amp;[2021]" cap="2021"/>
  </pageFields>
  <pivotHierarchies count="137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56" applyNumberFormats="0" applyBorderFormats="0" applyFontFormats="0" applyPatternFormats="0" applyAlignmentFormats="0" applyWidthHeightFormats="1" dataCaption="Values" grandTotalCaption="EBIT" updatedVersion="8" minRefreshableVersion="3" subtotalHiddenItems="1" itemPrintTitles="1" createdVersion="6" indent="0" outline="1" outlineData="1" multipleFieldFilters="0" fieldListSortAscending="1">
  <location ref="B6" firstHeaderRow="0" firstDataRow="0" firstDataCol="0" rowPageCount="3" colPageCount="1"/>
  <pivotFields count="3">
    <pivotField axis="axisPage" allDrilled="1" showAll="0" dataSourceSort="1" defaultAttributeDrillState="1">
      <items count="1">
        <item t="default"/>
      </items>
    </pivotField>
    <pivotField axis="axisPage" allDrilled="1" showAll="0" dataSourceSort="1" defaultAttributeDrillState="1">
      <items count="1">
        <item t="default"/>
      </items>
    </pivotField>
    <pivotField axis="axisPage" allDrilled="1" showAll="0" dataSourceSort="1" defaultAttributeDrillState="1">
      <items count="1">
        <item t="default"/>
      </items>
    </pivotField>
  </pivotFields>
  <pageFields count="3">
    <pageField fld="0" hier="15" name="[Accounts].[Statement].&amp;[PL]" cap="PL"/>
    <pageField fld="1" hier="67" name="[Organisation].[LegalName].[All]" cap="All"/>
    <pageField fld="2" hier="45" name="[Calendar].[Year].&amp;[2021]" cap="2021"/>
  </pageFields>
  <pivotHierarchies count="137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0F77D0D-4138-4192-89B7-D7D1292EB1C8}">
  <we:reference id="wa200003667" version="1.1.0.0" store="en-US" storeType="OMEX"/>
  <we:alternateReferences>
    <we:reference id="WA200003667" version="1.1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_xldudf_AEO_GETCELL</we:customFunctionIds>
        <we:customFunctionIds>_xldudf_AEO_GETMEMBER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F894C-7045-4FE1-996D-3A47848B9A08}">
  <dimension ref="B2:D38"/>
  <sheetViews>
    <sheetView tabSelected="1" zoomScaleNormal="100" zoomScaleSheetLayoutView="100" workbookViewId="0">
      <selection activeCell="C7" sqref="C7"/>
    </sheetView>
  </sheetViews>
  <sheetFormatPr defaultRowHeight="14.5" x14ac:dyDescent="0.35"/>
  <cols>
    <col min="2" max="2" width="27.36328125" bestFit="1" customWidth="1"/>
    <col min="3" max="3" width="12.6328125" bestFit="1" customWidth="1"/>
    <col min="4" max="4" width="12.90625" bestFit="1" customWidth="1"/>
  </cols>
  <sheetData>
    <row r="2" spans="2:4" x14ac:dyDescent="0.35">
      <c r="B2" s="1" t="s">
        <v>34</v>
      </c>
      <c r="C2" t="s" vm="1">
        <v>36</v>
      </c>
    </row>
    <row r="3" spans="2:4" x14ac:dyDescent="0.35">
      <c r="B3" s="1" t="s">
        <v>38</v>
      </c>
      <c r="C3" t="s" vm="2">
        <v>35</v>
      </c>
    </row>
    <row r="5" spans="2:4" x14ac:dyDescent="0.35">
      <c r="C5" t="s">
        <v>32</v>
      </c>
    </row>
    <row r="6" spans="2:4" x14ac:dyDescent="0.35">
      <c r="B6" t="s">
        <v>0</v>
      </c>
      <c r="C6" t="str" vm="32">
        <f>CUBEMEMBER("pbiazure://api.powerbi.com a17e9212-e5a8-47c6-999a-02ae22de8953 Model","[Measures].[ACT]")</f>
        <v>ACT</v>
      </c>
      <c r="D6" t="str" vm="29">
        <f>CUBEMEMBER("pbiazure://api.powerbi.com a17e9212-e5a8-47c6-999a-02ae22de8953 Model","[Measures].[BUD]")</f>
        <v>BUD</v>
      </c>
    </row>
    <row r="7" spans="2:4" x14ac:dyDescent="0.35">
      <c r="B7" s="2" t="str" vm="26">
        <f>CUBEMEMBER("pbiazure://api.powerbi.com a17e9212-e5a8-47c6-999a-02ae22de8953 Model","[Accounts].[Type].&amp;[Revenue]")</f>
        <v>Revenue</v>
      </c>
      <c r="C7" vm="60">
        <f t="shared" ref="C7:D38" si="0">CUBEVALUE("pbiazure://api.powerbi.com a17e9212-e5a8-47c6-999a-02ae22de8953 Model",$C$2,$C$3,$B7,C$6)</f>
        <v>163184.87871700004</v>
      </c>
      <c r="D7" vm="219">
        <f t="shared" si="0"/>
        <v>190701.36547483719</v>
      </c>
    </row>
    <row r="8" spans="2:4" x14ac:dyDescent="0.35">
      <c r="B8" s="3" t="str" vm="24">
        <f>CUBEMEMBER("pbiazure://api.powerbi.com a17e9212-e5a8-47c6-999a-02ae22de8953 Model",{"[Accounts].[Type].&amp;[Revenue]","[Accounts].[Name].&amp;[Other Revenue]"})</f>
        <v>Other Revenue</v>
      </c>
      <c r="C8" t="str" vm="56">
        <f t="shared" si="0"/>
        <v/>
      </c>
      <c r="D8" t="str" vm="231">
        <f t="shared" si="0"/>
        <v/>
      </c>
    </row>
    <row r="9" spans="2:4" x14ac:dyDescent="0.35">
      <c r="B9" s="3" t="str" vm="22">
        <f>CUBEMEMBER("pbiazure://api.powerbi.com a17e9212-e5a8-47c6-999a-02ae22de8953 Model",{"[Accounts].[Type].&amp;[Revenue]","[Accounts].[Name].&amp;[Sales]"})</f>
        <v>Sales</v>
      </c>
      <c r="C9" vm="52">
        <f t="shared" si="0"/>
        <v>156879.70847800004</v>
      </c>
      <c r="D9" vm="246">
        <f t="shared" si="0"/>
        <v>183765.67821193719</v>
      </c>
    </row>
    <row r="10" spans="2:4" x14ac:dyDescent="0.35">
      <c r="B10" s="2" t="str" vm="20">
        <f>CUBEMEMBER("pbiazure://api.powerbi.com a17e9212-e5a8-47c6-999a-02ae22de8953 Model","[Accounts].[Type].&amp;[DirectCosts]")</f>
        <v>DirectCosts</v>
      </c>
      <c r="C10" vm="48">
        <f t="shared" si="0"/>
        <v>-8769.7483329999995</v>
      </c>
      <c r="D10" vm="217">
        <f t="shared" si="0"/>
        <v>-8258.9049673340014</v>
      </c>
    </row>
    <row r="11" spans="2:4" x14ac:dyDescent="0.35">
      <c r="B11" s="3" t="str" vm="18">
        <f>CUBEMEMBER("pbiazure://api.powerbi.com a17e9212-e5a8-47c6-999a-02ae22de8953 Model",{"[Accounts].[Type].&amp;[DirectCosts]","[Accounts].[Name].&amp;[Cost of Goods Sold]"})</f>
        <v>Cost of Goods Sold</v>
      </c>
      <c r="C11" vm="44">
        <f t="shared" si="0"/>
        <v>-3269.1513530000002</v>
      </c>
      <c r="D11" vm="237">
        <f t="shared" si="0"/>
        <v>-2382.4804772340003</v>
      </c>
    </row>
    <row r="12" spans="2:4" x14ac:dyDescent="0.35">
      <c r="B12" s="3" t="str" vm="16">
        <f>CUBEMEMBER("pbiazure://api.powerbi.com a17e9212-e5a8-47c6-999a-02ae22de8953 Model",{"[Accounts].[Type].&amp;[DirectCosts]","[Accounts].[Name].&amp;[Purchases]"})</f>
        <v>Purchases</v>
      </c>
      <c r="C12" vm="40">
        <f t="shared" si="0"/>
        <v>-5500.5969799999993</v>
      </c>
      <c r="D12" vm="239">
        <f t="shared" si="0"/>
        <v>-5876.4244901000002</v>
      </c>
    </row>
    <row r="13" spans="2:4" x14ac:dyDescent="0.35">
      <c r="B13" s="2" t="str" vm="14">
        <f>CUBEMEMBER("pbiazure://api.powerbi.com a17e9212-e5a8-47c6-999a-02ae22de8953 Model","[Accounts].[Type].&amp;[Expense]")</f>
        <v>Expense</v>
      </c>
      <c r="C13" vm="67">
        <f t="shared" si="0"/>
        <v>-103311.53795000001</v>
      </c>
      <c r="D13" vm="245">
        <f t="shared" si="0"/>
        <v>-96475.49705856292</v>
      </c>
    </row>
    <row r="14" spans="2:4" x14ac:dyDescent="0.35">
      <c r="B14" s="3" t="str" vm="12">
        <f>CUBEMEMBER("pbiazure://api.powerbi.com a17e9212-e5a8-47c6-999a-02ae22de8953 Model",{"[Accounts].[Type].&amp;[Expense]","[Accounts].[Name].&amp;[Advertising]"})</f>
        <v>Advertising</v>
      </c>
      <c r="C14" vm="64">
        <f t="shared" si="0"/>
        <v>-17518.969991000005</v>
      </c>
      <c r="D14" vm="240">
        <f t="shared" si="0"/>
        <v>-19769.665990100002</v>
      </c>
    </row>
    <row r="15" spans="2:4" x14ac:dyDescent="0.35">
      <c r="B15" s="3" t="str" vm="10">
        <f>CUBEMEMBER("pbiazure://api.powerbi.com a17e9212-e5a8-47c6-999a-02ae22de8953 Model",{"[Accounts].[Type].&amp;[Expense]","[Accounts].[Name].&amp;[Bank Fees]"})</f>
        <v>Bank Fees</v>
      </c>
      <c r="C15" vm="59">
        <f t="shared" si="0"/>
        <v>-387.301106</v>
      </c>
      <c r="D15" vm="233">
        <f t="shared" si="0"/>
        <v>-393.48121659999998</v>
      </c>
    </row>
    <row r="16" spans="2:4" x14ac:dyDescent="0.35">
      <c r="B16" s="3" t="str" vm="8">
        <f>CUBEMEMBER("pbiazure://api.powerbi.com a17e9212-e5a8-47c6-999a-02ae22de8953 Model",{"[Accounts].[Type].&amp;[Expense]","[Accounts].[Name].&amp;[Cleaning]"})</f>
        <v>Cleaning</v>
      </c>
      <c r="C16" vm="55">
        <f t="shared" si="0"/>
        <v>-611.00477799999999</v>
      </c>
      <c r="D16" vm="228">
        <f t="shared" si="0"/>
        <v>-625.60525580000001</v>
      </c>
    </row>
    <row r="17" spans="2:4" x14ac:dyDescent="0.35">
      <c r="B17" s="3" t="str" vm="6">
        <f>CUBEMEMBER("pbiazure://api.powerbi.com a17e9212-e5a8-47c6-999a-02ae22de8953 Model",{"[Accounts].[Type].&amp;[Expense]","[Accounts].[Name].&amp;[Consulting &amp; Accounting]"})</f>
        <v>Consulting &amp; Accounting</v>
      </c>
      <c r="C17" vm="51">
        <f t="shared" si="0"/>
        <v>-256.72378600000002</v>
      </c>
      <c r="D17" vm="244">
        <f t="shared" si="0"/>
        <v>-232.18116425870002</v>
      </c>
    </row>
    <row r="18" spans="2:4" x14ac:dyDescent="0.35">
      <c r="B18" s="3" t="str" vm="4">
        <f>CUBEMEMBER("pbiazure://api.powerbi.com a17e9212-e5a8-47c6-999a-02ae22de8953 Model",{"[Accounts].[Type].&amp;[Expense]","[Accounts].[Name].&amp;[Dues &amp; Subscriptions]"})</f>
        <v>Dues &amp; Subscriptions</v>
      </c>
      <c r="C18" vm="47">
        <f t="shared" si="0"/>
        <v>-2006.1343199999999</v>
      </c>
      <c r="D18" vm="216">
        <f t="shared" si="0"/>
        <v>-2015.17049534649</v>
      </c>
    </row>
    <row r="19" spans="2:4" x14ac:dyDescent="0.35">
      <c r="B19" s="3" t="str" vm="36">
        <f>CUBEMEMBER("pbiazure://api.powerbi.com a17e9212-e5a8-47c6-999a-02ae22de8953 Model",{"[Accounts].[Type].&amp;[Expense]","[Accounts].[Name].&amp;[Entertainment]"})</f>
        <v>Entertainment</v>
      </c>
      <c r="C19" vm="43">
        <f t="shared" si="0"/>
        <v>-2531.415152</v>
      </c>
      <c r="D19" vm="224">
        <f t="shared" si="0"/>
        <v>-2864.8646545955799</v>
      </c>
    </row>
    <row r="20" spans="2:4" x14ac:dyDescent="0.35">
      <c r="B20" s="3" t="str" vm="34">
        <f>CUBEMEMBER("pbiazure://api.powerbi.com a17e9212-e5a8-47c6-999a-02ae22de8953 Model",{"[Accounts].[Type].&amp;[Expense]","[Accounts].[Name].&amp;[Freight &amp; Courier]"})</f>
        <v>Freight &amp; Courier</v>
      </c>
      <c r="C20" vm="39">
        <f t="shared" si="0"/>
        <v>-136.78942500000002</v>
      </c>
      <c r="D20" vm="238">
        <f t="shared" si="0"/>
        <v>-150.46836750000006</v>
      </c>
    </row>
    <row r="21" spans="2:4" x14ac:dyDescent="0.35">
      <c r="B21" s="3" t="str" vm="31">
        <f>CUBEMEMBER("pbiazure://api.powerbi.com a17e9212-e5a8-47c6-999a-02ae22de8953 Model",{"[Accounts].[Type].&amp;[Expense]","[Accounts].[Name].&amp;[General Expenses]"})</f>
        <v>General Expenses</v>
      </c>
      <c r="C21" vm="66">
        <f t="shared" si="0"/>
        <v>-1634.463878</v>
      </c>
      <c r="D21" vm="227">
        <f t="shared" si="0"/>
        <v>-1489.2007778915201</v>
      </c>
    </row>
    <row r="22" spans="2:4" x14ac:dyDescent="0.35">
      <c r="B22" s="3" t="str" vm="28">
        <f>CUBEMEMBER("pbiazure://api.powerbi.com a17e9212-e5a8-47c6-999a-02ae22de8953 Model",{"[Accounts].[Type].&amp;[Expense]","[Accounts].[Name].&amp;[Income Tax Expense]"})</f>
        <v>Income Tax Expense</v>
      </c>
      <c r="C22" vm="63">
        <f t="shared" si="0"/>
        <v>0</v>
      </c>
      <c r="D22" vm="229">
        <f t="shared" si="0"/>
        <v>0</v>
      </c>
    </row>
    <row r="23" spans="2:4" x14ac:dyDescent="0.35">
      <c r="B23" s="3" t="str" vm="25">
        <f>CUBEMEMBER("pbiazure://api.powerbi.com a17e9212-e5a8-47c6-999a-02ae22de8953 Model",{"[Accounts].[Type].&amp;[Expense]","[Accounts].[Name].&amp;[Legal expenses]"})</f>
        <v>Legal expenses</v>
      </c>
      <c r="C23" vm="58">
        <f t="shared" si="0"/>
        <v>-4090.91</v>
      </c>
      <c r="D23" vm="230">
        <f t="shared" si="0"/>
        <v>-5000</v>
      </c>
    </row>
    <row r="24" spans="2:4" x14ac:dyDescent="0.35">
      <c r="B24" s="3" t="str" vm="23">
        <f>CUBEMEMBER("pbiazure://api.powerbi.com a17e9212-e5a8-47c6-999a-02ae22de8953 Model",{"[Accounts].[Type].&amp;[Expense]","[Accounts].[Name].&amp;[Light, Power, Heating]"})</f>
        <v>Light, Power, Heating</v>
      </c>
      <c r="C24" vm="54">
        <f t="shared" si="0"/>
        <v>-1505.6413990000001</v>
      </c>
      <c r="D24" vm="221">
        <f t="shared" si="0"/>
        <v>-1551.7325389000002</v>
      </c>
    </row>
    <row r="25" spans="2:4" x14ac:dyDescent="0.35">
      <c r="B25" s="3" t="str" vm="21">
        <f>CUBEMEMBER("pbiazure://api.powerbi.com a17e9212-e5a8-47c6-999a-02ae22de8953 Model",{"[Accounts].[Type].&amp;[Expense]","[Accounts].[Name].&amp;[Motor Vehicle Expenses]"})</f>
        <v>Motor Vehicle Expenses</v>
      </c>
      <c r="C25" vm="50">
        <f t="shared" si="0"/>
        <v>-1779.0610999999999</v>
      </c>
      <c r="D25" vm="242">
        <f t="shared" si="0"/>
        <v>-1869.07221</v>
      </c>
    </row>
    <row r="26" spans="2:4" x14ac:dyDescent="0.35">
      <c r="B26" s="3" t="str" vm="19">
        <f>CUBEMEMBER("pbiazure://api.powerbi.com a17e9212-e5a8-47c6-999a-02ae22de8953 Model",{"[Accounts].[Type].&amp;[Expense]","[Accounts].[Name].&amp;[Office Expenses]"})</f>
        <v>Office Expenses</v>
      </c>
      <c r="C26" vm="46">
        <f t="shared" si="0"/>
        <v>-2302.3721750000004</v>
      </c>
      <c r="D26" vm="226">
        <f t="shared" si="0"/>
        <v>-2281.0683924999998</v>
      </c>
    </row>
    <row r="27" spans="2:4" x14ac:dyDescent="0.35">
      <c r="B27" s="3" t="str" vm="17">
        <f>CUBEMEMBER("pbiazure://api.powerbi.com a17e9212-e5a8-47c6-999a-02ae22de8953 Model",{"[Accounts].[Type].&amp;[Expense]","[Accounts].[Name].&amp;[Payroll Tax Expense]"})</f>
        <v>Payroll Tax Expense</v>
      </c>
      <c r="C27" vm="42">
        <f t="shared" si="0"/>
        <v>-1853.8916439999998</v>
      </c>
      <c r="D27" vm="223">
        <f t="shared" si="0"/>
        <v>-1934.4926951900002</v>
      </c>
    </row>
    <row r="28" spans="2:4" x14ac:dyDescent="0.35">
      <c r="B28" s="3" t="str" vm="15">
        <f>CUBEMEMBER("pbiazure://api.powerbi.com a17e9212-e5a8-47c6-999a-02ae22de8953 Model",{"[Accounts].[Type].&amp;[Expense]","[Accounts].[Name].&amp;[Printing &amp; Stationery]"})</f>
        <v>Printing &amp; Stationery</v>
      </c>
      <c r="C28" vm="38">
        <f t="shared" si="0"/>
        <v>-450.64362600000004</v>
      </c>
      <c r="D28" vm="241">
        <f t="shared" si="0"/>
        <v>-431.14102409066504</v>
      </c>
    </row>
    <row r="29" spans="2:4" x14ac:dyDescent="0.35">
      <c r="B29" s="3" t="str" vm="13">
        <f>CUBEMEMBER("pbiazure://api.powerbi.com a17e9212-e5a8-47c6-999a-02ae22de8953 Model",{"[Accounts].[Type].&amp;[Expense]","[Accounts].[Name].&amp;[Rent]"})</f>
        <v>Rent</v>
      </c>
      <c r="C29" vm="65">
        <f t="shared" si="0"/>
        <v>-21945.21977</v>
      </c>
      <c r="D29" vm="225">
        <f t="shared" si="0"/>
        <v>-22724.11289579</v>
      </c>
    </row>
    <row r="30" spans="2:4" x14ac:dyDescent="0.35">
      <c r="B30" s="3" t="str" vm="11">
        <f>CUBEMEMBER("pbiazure://api.powerbi.com a17e9212-e5a8-47c6-999a-02ae22de8953 Model",{"[Accounts].[Type].&amp;[Expense]","[Accounts].[Name].&amp;[Repairs and Maintenance]"})</f>
        <v>Repairs and Maintenance</v>
      </c>
      <c r="C30" vm="62">
        <f t="shared" si="0"/>
        <v>-2522.4374359999997</v>
      </c>
      <c r="D30" vm="236">
        <f t="shared" si="0"/>
        <v>-2774.6811796000002</v>
      </c>
    </row>
    <row r="31" spans="2:4" x14ac:dyDescent="0.35">
      <c r="B31" s="3" t="str" vm="9">
        <f>CUBEMEMBER("pbiazure://api.powerbi.com a17e9212-e5a8-47c6-999a-02ae22de8953 Model",{"[Accounts].[Type].&amp;[Expense]","[Accounts].[Name].&amp;[Subscriptions]"})</f>
        <v>Subscriptions</v>
      </c>
      <c r="C31" vm="57">
        <f t="shared" si="0"/>
        <v>-120</v>
      </c>
      <c r="D31" vm="243">
        <f t="shared" si="0"/>
        <v>-120</v>
      </c>
    </row>
    <row r="32" spans="2:4" x14ac:dyDescent="0.35">
      <c r="B32" s="3" t="str" vm="7">
        <f>CUBEMEMBER("pbiazure://api.powerbi.com a17e9212-e5a8-47c6-999a-02ae22de8953 Model",{"[Accounts].[Type].&amp;[Expense]","[Accounts].[Name].&amp;[Telephone &amp; Internet]"})</f>
        <v>Telephone &amp; Internet</v>
      </c>
      <c r="C32" vm="53">
        <f t="shared" si="0"/>
        <v>-424.49958600000002</v>
      </c>
      <c r="D32" vm="234">
        <f t="shared" si="0"/>
        <v>-442.99354460000006</v>
      </c>
    </row>
    <row r="33" spans="2:4" x14ac:dyDescent="0.35">
      <c r="B33" s="3" t="str" vm="5">
        <f>CUBEMEMBER("pbiazure://api.powerbi.com a17e9212-e5a8-47c6-999a-02ae22de8953 Model",{"[Accounts].[Type].&amp;[Expense]","[Accounts].[Name].&amp;[Travel - National]"})</f>
        <v>Travel - National</v>
      </c>
      <c r="C33" vm="49">
        <f t="shared" si="0"/>
        <v>-1034.0587779999998</v>
      </c>
      <c r="D33" vm="215">
        <f t="shared" si="0"/>
        <v>-1095.5646558000001</v>
      </c>
    </row>
    <row r="34" spans="2:4" x14ac:dyDescent="0.35">
      <c r="B34" s="3" t="str" vm="3">
        <f>CUBEMEMBER("pbiazure://api.powerbi.com a17e9212-e5a8-47c6-999a-02ae22de8953 Model",{"[Accounts].[Type].&amp;[Expense]","[Accounts].[Name].&amp;[Wages and Salaries]"})</f>
        <v>Wages and Salaries</v>
      </c>
      <c r="C34" vm="45">
        <f t="shared" si="0"/>
        <v>-40200</v>
      </c>
      <c r="D34" vm="232">
        <f t="shared" si="0"/>
        <v>-28710</v>
      </c>
    </row>
    <row r="35" spans="2:4" x14ac:dyDescent="0.35">
      <c r="B35" s="2" t="str" vm="35">
        <f>CUBEMEMBER("pbiazure://api.powerbi.com a17e9212-e5a8-47c6-999a-02ae22de8953 Model","[Accounts].[Type].&amp;[Overheads]")</f>
        <v>Overheads</v>
      </c>
      <c r="C35" vm="41">
        <f t="shared" si="0"/>
        <v>-55595.547158000001</v>
      </c>
      <c r="D35" vm="218">
        <f t="shared" si="0"/>
        <v>-76656.153932500049</v>
      </c>
    </row>
    <row r="36" spans="2:4" x14ac:dyDescent="0.35">
      <c r="B36" s="2" t="str" vm="33">
        <f>CUBEMEMBER("pbiazure://api.powerbi.com a17e9212-e5a8-47c6-999a-02ae22de8953 Model","[Accounts].[Type].&amp;[OtherIncome]")</f>
        <v>OtherIncome</v>
      </c>
      <c r="C36" vm="68">
        <f t="shared" si="0"/>
        <v>97.05</v>
      </c>
      <c r="D36" vm="235">
        <f t="shared" si="0"/>
        <v>106.75500000000001</v>
      </c>
    </row>
    <row r="37" spans="2:4" x14ac:dyDescent="0.35">
      <c r="B37" s="3" t="str" vm="30">
        <f>CUBEMEMBER("pbiazure://api.powerbi.com a17e9212-e5a8-47c6-999a-02ae22de8953 Model",{"[Accounts].[Type].&amp;[OtherIncome]","[Accounts].[Name].&amp;[Interest Income]"})</f>
        <v>Interest Income</v>
      </c>
      <c r="C37" vm="37">
        <f t="shared" si="0"/>
        <v>97.05</v>
      </c>
      <c r="D37" vm="222">
        <f t="shared" si="0"/>
        <v>106.75500000000001</v>
      </c>
    </row>
    <row r="38" spans="2:4" x14ac:dyDescent="0.35">
      <c r="B38" s="2" t="str" vm="27">
        <f>CUBEMEMBER("pbiazure://api.powerbi.com a17e9212-e5a8-47c6-999a-02ae22de8953 Model","[Accounts].[Type].[All]","EBIT")</f>
        <v>EBIT</v>
      </c>
      <c r="C38" vm="61">
        <f t="shared" si="0"/>
        <v>-4394.9047240000036</v>
      </c>
      <c r="D38" vm="220">
        <f t="shared" si="0"/>
        <v>9417.5645164403068</v>
      </c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B8BE4-6C2C-4118-B516-398DEB2499DA}">
  <dimension ref="B2:D38"/>
  <sheetViews>
    <sheetView zoomScaleNormal="100" zoomScaleSheetLayoutView="100" workbookViewId="0">
      <selection activeCell="C7" sqref="C7"/>
    </sheetView>
  </sheetViews>
  <sheetFormatPr defaultRowHeight="14.5" x14ac:dyDescent="0.35"/>
  <cols>
    <col min="2" max="2" width="26.08984375" bestFit="1" customWidth="1"/>
    <col min="3" max="3" width="12.1796875" bestFit="1" customWidth="1"/>
    <col min="4" max="4" width="11.1796875" bestFit="1" customWidth="1"/>
  </cols>
  <sheetData>
    <row r="2" spans="2:4" x14ac:dyDescent="0.35">
      <c r="B2" s="1" t="s">
        <v>34</v>
      </c>
      <c r="C2" t="s" vm="1">
        <v>36</v>
      </c>
    </row>
    <row r="3" spans="2:4" x14ac:dyDescent="0.35">
      <c r="B3" s="1" t="s">
        <v>38</v>
      </c>
      <c r="C3" t="s" vm="2">
        <v>35</v>
      </c>
    </row>
    <row r="5" spans="2:4" x14ac:dyDescent="0.35">
      <c r="C5" s="1" t="s">
        <v>32</v>
      </c>
    </row>
    <row r="6" spans="2:4" x14ac:dyDescent="0.35">
      <c r="B6" s="1" t="s">
        <v>0</v>
      </c>
      <c r="C6" t="s">
        <v>31</v>
      </c>
      <c r="D6" t="s">
        <v>33</v>
      </c>
    </row>
    <row r="7" spans="2:4" x14ac:dyDescent="0.35">
      <c r="B7" s="2" t="s">
        <v>1</v>
      </c>
      <c r="C7" s="4">
        <v>163184.87871700004</v>
      </c>
      <c r="D7" s="4">
        <v>190701.36547483719</v>
      </c>
    </row>
    <row r="8" spans="2:4" x14ac:dyDescent="0.35">
      <c r="B8" s="3" t="s">
        <v>60</v>
      </c>
      <c r="C8" s="4">
        <v>6305.170239</v>
      </c>
      <c r="D8" s="4">
        <v>6935.6872629000009</v>
      </c>
    </row>
    <row r="9" spans="2:4" x14ac:dyDescent="0.35">
      <c r="B9" s="3" t="s">
        <v>7</v>
      </c>
      <c r="C9" s="4">
        <v>156879.70847800004</v>
      </c>
      <c r="D9" s="4">
        <v>183765.67821193719</v>
      </c>
    </row>
    <row r="10" spans="2:4" x14ac:dyDescent="0.35">
      <c r="B10" s="2" t="s">
        <v>2</v>
      </c>
      <c r="C10" s="4">
        <v>-8769.7483329999995</v>
      </c>
      <c r="D10" s="4">
        <v>-8258.9049673340014</v>
      </c>
    </row>
    <row r="11" spans="2:4" x14ac:dyDescent="0.35">
      <c r="B11" s="3" t="s">
        <v>8</v>
      </c>
      <c r="C11" s="4">
        <v>-3269.1513530000002</v>
      </c>
      <c r="D11" s="4">
        <v>-2382.4804772340003</v>
      </c>
    </row>
    <row r="12" spans="2:4" x14ac:dyDescent="0.35">
      <c r="B12" s="3" t="s">
        <v>9</v>
      </c>
      <c r="C12" s="4">
        <v>-5500.5969799999993</v>
      </c>
      <c r="D12" s="4">
        <v>-5876.4244901000002</v>
      </c>
    </row>
    <row r="13" spans="2:4" x14ac:dyDescent="0.35">
      <c r="B13" s="2" t="s">
        <v>3</v>
      </c>
      <c r="C13" s="4">
        <v>-103311.53795000001</v>
      </c>
      <c r="D13" s="4">
        <v>-96475.49705856292</v>
      </c>
    </row>
    <row r="14" spans="2:4" x14ac:dyDescent="0.35">
      <c r="B14" s="3" t="s">
        <v>10</v>
      </c>
      <c r="C14" s="4">
        <v>-17518.969991000005</v>
      </c>
      <c r="D14" s="4">
        <v>-19769.665990100002</v>
      </c>
    </row>
    <row r="15" spans="2:4" x14ac:dyDescent="0.35">
      <c r="B15" s="3" t="s">
        <v>11</v>
      </c>
      <c r="C15" s="4">
        <v>-387.301106</v>
      </c>
      <c r="D15" s="4">
        <v>-393.48121659999998</v>
      </c>
    </row>
    <row r="16" spans="2:4" x14ac:dyDescent="0.35">
      <c r="B16" s="3" t="s">
        <v>12</v>
      </c>
      <c r="C16" s="4">
        <v>-611.00477799999999</v>
      </c>
      <c r="D16" s="4">
        <v>-625.60525580000001</v>
      </c>
    </row>
    <row r="17" spans="2:4" x14ac:dyDescent="0.35">
      <c r="B17" s="3" t="s">
        <v>13</v>
      </c>
      <c r="C17" s="4">
        <v>-256.72378600000002</v>
      </c>
      <c r="D17" s="4">
        <v>-232.18116425870002</v>
      </c>
    </row>
    <row r="18" spans="2:4" x14ac:dyDescent="0.35">
      <c r="B18" s="3" t="s">
        <v>14</v>
      </c>
      <c r="C18" s="4">
        <v>-2006.1343199999999</v>
      </c>
      <c r="D18" s="4">
        <v>-2015.17049534649</v>
      </c>
    </row>
    <row r="19" spans="2:4" x14ac:dyDescent="0.35">
      <c r="B19" s="3" t="s">
        <v>15</v>
      </c>
      <c r="C19" s="4">
        <v>-2531.415152</v>
      </c>
      <c r="D19" s="4">
        <v>-2864.8646545955799</v>
      </c>
    </row>
    <row r="20" spans="2:4" x14ac:dyDescent="0.35">
      <c r="B20" s="3" t="s">
        <v>16</v>
      </c>
      <c r="C20" s="4">
        <v>-136.78942500000002</v>
      </c>
      <c r="D20" s="4">
        <v>-150.46836750000006</v>
      </c>
    </row>
    <row r="21" spans="2:4" x14ac:dyDescent="0.35">
      <c r="B21" s="3" t="s">
        <v>17</v>
      </c>
      <c r="C21" s="4">
        <v>-1634.463878</v>
      </c>
      <c r="D21" s="4">
        <v>-1489.2007778915201</v>
      </c>
    </row>
    <row r="22" spans="2:4" x14ac:dyDescent="0.35">
      <c r="B22" s="3" t="s">
        <v>18</v>
      </c>
      <c r="C22" s="4">
        <v>0</v>
      </c>
      <c r="D22" s="4">
        <v>0</v>
      </c>
    </row>
    <row r="23" spans="2:4" x14ac:dyDescent="0.35">
      <c r="B23" s="3" t="s">
        <v>19</v>
      </c>
      <c r="C23" s="4">
        <v>-4090.91</v>
      </c>
      <c r="D23" s="4">
        <v>-5000</v>
      </c>
    </row>
    <row r="24" spans="2:4" x14ac:dyDescent="0.35">
      <c r="B24" s="3" t="s">
        <v>20</v>
      </c>
      <c r="C24" s="4">
        <v>-1505.6413990000001</v>
      </c>
      <c r="D24" s="4">
        <v>-1551.7325389000002</v>
      </c>
    </row>
    <row r="25" spans="2:4" x14ac:dyDescent="0.35">
      <c r="B25" s="3" t="s">
        <v>21</v>
      </c>
      <c r="C25" s="4">
        <v>-1779.0610999999999</v>
      </c>
      <c r="D25" s="4">
        <v>-1869.07221</v>
      </c>
    </row>
    <row r="26" spans="2:4" x14ac:dyDescent="0.35">
      <c r="B26" s="3" t="s">
        <v>22</v>
      </c>
      <c r="C26" s="4">
        <v>-2302.3721750000004</v>
      </c>
      <c r="D26" s="4">
        <v>-2281.0683924999998</v>
      </c>
    </row>
    <row r="27" spans="2:4" x14ac:dyDescent="0.35">
      <c r="B27" s="3" t="s">
        <v>23</v>
      </c>
      <c r="C27" s="4">
        <v>-1853.8916439999998</v>
      </c>
      <c r="D27" s="4">
        <v>-1934.4926951900002</v>
      </c>
    </row>
    <row r="28" spans="2:4" x14ac:dyDescent="0.35">
      <c r="B28" s="3" t="s">
        <v>24</v>
      </c>
      <c r="C28" s="4">
        <v>-450.64362600000004</v>
      </c>
      <c r="D28" s="4">
        <v>-431.14102409066504</v>
      </c>
    </row>
    <row r="29" spans="2:4" x14ac:dyDescent="0.35">
      <c r="B29" s="3" t="s">
        <v>25</v>
      </c>
      <c r="C29" s="4">
        <v>-21945.21977</v>
      </c>
      <c r="D29" s="4">
        <v>-22724.11289579</v>
      </c>
    </row>
    <row r="30" spans="2:4" x14ac:dyDescent="0.35">
      <c r="B30" s="3" t="s">
        <v>26</v>
      </c>
      <c r="C30" s="4">
        <v>-2522.4374359999997</v>
      </c>
      <c r="D30" s="4">
        <v>-2774.6811796000002</v>
      </c>
    </row>
    <row r="31" spans="2:4" x14ac:dyDescent="0.35">
      <c r="B31" s="3" t="s">
        <v>27</v>
      </c>
      <c r="C31" s="4">
        <v>-120</v>
      </c>
      <c r="D31" s="4">
        <v>-120</v>
      </c>
    </row>
    <row r="32" spans="2:4" x14ac:dyDescent="0.35">
      <c r="B32" s="3" t="s">
        <v>28</v>
      </c>
      <c r="C32" s="4">
        <v>-424.49958600000002</v>
      </c>
      <c r="D32" s="4">
        <v>-442.99354460000006</v>
      </c>
    </row>
    <row r="33" spans="2:4" x14ac:dyDescent="0.35">
      <c r="B33" s="3" t="s">
        <v>29</v>
      </c>
      <c r="C33" s="4">
        <v>-1034.0587779999998</v>
      </c>
      <c r="D33" s="4">
        <v>-1095.5646558000001</v>
      </c>
    </row>
    <row r="34" spans="2:4" x14ac:dyDescent="0.35">
      <c r="B34" s="3" t="s">
        <v>30</v>
      </c>
      <c r="C34" s="4">
        <v>-40200</v>
      </c>
      <c r="D34" s="4">
        <v>-28710</v>
      </c>
    </row>
    <row r="35" spans="2:4" x14ac:dyDescent="0.35">
      <c r="B35" s="2" t="s">
        <v>4</v>
      </c>
      <c r="C35" s="4">
        <v>-55595.547158000001</v>
      </c>
      <c r="D35" s="4">
        <v>-76656.153932500049</v>
      </c>
    </row>
    <row r="36" spans="2:4" x14ac:dyDescent="0.35">
      <c r="B36" s="2" t="s">
        <v>5</v>
      </c>
      <c r="C36" s="4">
        <v>97.05</v>
      </c>
      <c r="D36" s="4">
        <v>106.75500000000001</v>
      </c>
    </row>
    <row r="37" spans="2:4" x14ac:dyDescent="0.35">
      <c r="B37" s="3" t="s">
        <v>6</v>
      </c>
      <c r="C37" s="4">
        <v>97.05</v>
      </c>
      <c r="D37" s="4">
        <v>106.75500000000001</v>
      </c>
    </row>
    <row r="38" spans="2:4" x14ac:dyDescent="0.35">
      <c r="B38" s="2" t="s">
        <v>37</v>
      </c>
      <c r="C38" s="4">
        <v>-4394.9047239999663</v>
      </c>
      <c r="D38" s="4">
        <v>9417.5645164402176</v>
      </c>
    </row>
  </sheetData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3712D-142D-4806-B02B-147F3FC4FECB}">
  <dimension ref="B2:F40"/>
  <sheetViews>
    <sheetView showGridLines="0" zoomScaleNormal="100" zoomScaleSheetLayoutView="100" workbookViewId="0">
      <selection activeCell="C7" sqref="C7"/>
    </sheetView>
  </sheetViews>
  <sheetFormatPr defaultRowHeight="14.5" x14ac:dyDescent="0.35"/>
  <cols>
    <col min="2" max="2" width="27.36328125" bestFit="1" customWidth="1"/>
    <col min="3" max="3" width="12.6328125" bestFit="1" customWidth="1"/>
    <col min="4" max="4" width="10.26953125" bestFit="1" customWidth="1"/>
  </cols>
  <sheetData>
    <row r="2" spans="2:6" x14ac:dyDescent="0.35">
      <c r="B2" s="1" t="s">
        <v>34</v>
      </c>
      <c r="C2" t="s" vm="1">
        <v>36</v>
      </c>
    </row>
    <row r="3" spans="2:6" x14ac:dyDescent="0.35">
      <c r="B3" s="1" t="s">
        <v>38</v>
      </c>
      <c r="C3" t="s" vm="2">
        <v>35</v>
      </c>
    </row>
    <row r="6" spans="2:6" x14ac:dyDescent="0.35">
      <c r="C6" s="10" t="str" vm="32">
        <f>CUBEMEMBER("pbiazure://api.powerbi.com a17e9212-e5a8-47c6-999a-02ae22de8953 Model","[Measures].[ACT]")</f>
        <v>ACT</v>
      </c>
      <c r="D6" s="10" t="str" vm="29">
        <f>CUBEMEMBER("pbiazure://api.powerbi.com a17e9212-e5a8-47c6-999a-02ae22de8953 Model","[Measures].[BUD]")</f>
        <v>BUD</v>
      </c>
      <c r="E6" s="10" t="s">
        <v>39</v>
      </c>
      <c r="F6" s="10" t="s">
        <v>40</v>
      </c>
    </row>
    <row r="7" spans="2:6" x14ac:dyDescent="0.35">
      <c r="B7" s="14" t="str" vm="26">
        <f>CUBEMEMBER("pbiazure://api.powerbi.com a17e9212-e5a8-47c6-999a-02ae22de8953 Model","[Accounts].[Type].&amp;[Revenue]")</f>
        <v>Revenue</v>
      </c>
      <c r="C7" s="15" vm="60">
        <f t="shared" ref="C7:D12" si="0">CUBEVALUE("pbiazure://api.powerbi.com a17e9212-e5a8-47c6-999a-02ae22de8953 Model",$C$2,$C$3,$B7,C$6)</f>
        <v>163184.87871700004</v>
      </c>
      <c r="D7" s="15" vm="219">
        <f t="shared" si="0"/>
        <v>190701.36547483719</v>
      </c>
      <c r="E7" s="15">
        <f>C7-D7</f>
        <v>-27516.486757837149</v>
      </c>
      <c r="F7" s="16">
        <f>E7/D7</f>
        <v>-0.14429097919316111</v>
      </c>
    </row>
    <row r="8" spans="2:6" x14ac:dyDescent="0.35">
      <c r="B8" s="3" t="str" vm="24">
        <f>CUBEMEMBER("pbiazure://api.powerbi.com a17e9212-e5a8-47c6-999a-02ae22de8953 Model",{"[Accounts].[Type].&amp;[Revenue]","[Accounts].[Name].&amp;[Other Revenue]"})</f>
        <v>Other Revenue</v>
      </c>
      <c r="C8" t="str" vm="56">
        <f t="shared" si="0"/>
        <v/>
      </c>
      <c r="D8" t="str" vm="231">
        <f t="shared" si="0"/>
        <v/>
      </c>
      <c r="E8" t="e">
        <f t="shared" ref="E8:E39" si="1">C8-D8</f>
        <v>#VALUE!</v>
      </c>
      <c r="F8" s="5" t="e">
        <f t="shared" ref="F8:F39" si="2">E8/D8</f>
        <v>#VALUE!</v>
      </c>
    </row>
    <row r="9" spans="2:6" x14ac:dyDescent="0.35">
      <c r="B9" s="3" t="str" vm="22">
        <f>CUBEMEMBER("pbiazure://api.powerbi.com a17e9212-e5a8-47c6-999a-02ae22de8953 Model",{"[Accounts].[Type].&amp;[Revenue]","[Accounts].[Name].&amp;[Sales]"})</f>
        <v>Sales</v>
      </c>
      <c r="C9" vm="52">
        <f t="shared" si="0"/>
        <v>156879.70847800004</v>
      </c>
      <c r="D9" vm="246">
        <f t="shared" si="0"/>
        <v>183765.67821193719</v>
      </c>
      <c r="E9">
        <f t="shared" si="1"/>
        <v>-26885.969733937149</v>
      </c>
      <c r="F9" s="9">
        <f t="shared" si="2"/>
        <v>-0.14630571930265196</v>
      </c>
    </row>
    <row r="10" spans="2:6" x14ac:dyDescent="0.35">
      <c r="B10" s="14" t="str" vm="20">
        <f>CUBEMEMBER("pbiazure://api.powerbi.com a17e9212-e5a8-47c6-999a-02ae22de8953 Model","[Accounts].[Type].&amp;[DirectCosts]")</f>
        <v>DirectCosts</v>
      </c>
      <c r="C10" s="15" vm="48">
        <f t="shared" si="0"/>
        <v>-8769.7483329999995</v>
      </c>
      <c r="D10" s="15" vm="217">
        <f t="shared" si="0"/>
        <v>-8258.9049673340014</v>
      </c>
      <c r="E10" s="15">
        <f t="shared" si="1"/>
        <v>-510.84336566599814</v>
      </c>
      <c r="F10" s="16">
        <f t="shared" si="2"/>
        <v>6.185364375622545E-2</v>
      </c>
    </row>
    <row r="11" spans="2:6" x14ac:dyDescent="0.35">
      <c r="B11" s="3" t="str" vm="18">
        <f>CUBEMEMBER("pbiazure://api.powerbi.com a17e9212-e5a8-47c6-999a-02ae22de8953 Model",{"[Accounts].[Type].&amp;[DirectCosts]","[Accounts].[Name].&amp;[Cost of Goods Sold]"})</f>
        <v>Cost of Goods Sold</v>
      </c>
      <c r="C11" vm="44">
        <f t="shared" si="0"/>
        <v>-3269.1513530000002</v>
      </c>
      <c r="D11" vm="237">
        <f t="shared" si="0"/>
        <v>-2382.4804772340003</v>
      </c>
      <c r="E11">
        <f t="shared" si="1"/>
        <v>-886.67087576599988</v>
      </c>
      <c r="F11" s="5">
        <f t="shared" si="2"/>
        <v>0.37216291350072356</v>
      </c>
    </row>
    <row r="12" spans="2:6" x14ac:dyDescent="0.35">
      <c r="B12" s="6" t="str" vm="16">
        <f>CUBEMEMBER("pbiazure://api.powerbi.com a17e9212-e5a8-47c6-999a-02ae22de8953 Model",{"[Accounts].[Type].&amp;[DirectCosts]","[Accounts].[Name].&amp;[Purchases]"})</f>
        <v>Purchases</v>
      </c>
      <c r="C12" s="7" vm="40">
        <f t="shared" si="0"/>
        <v>-5500.5969799999993</v>
      </c>
      <c r="D12" s="7" vm="239">
        <f t="shared" si="0"/>
        <v>-5876.4244901000002</v>
      </c>
      <c r="E12" s="7">
        <f t="shared" si="1"/>
        <v>375.82751010000084</v>
      </c>
      <c r="F12" s="8">
        <f t="shared" si="2"/>
        <v>-6.3955133046150192E-2</v>
      </c>
    </row>
    <row r="13" spans="2:6" x14ac:dyDescent="0.35">
      <c r="B13" s="11" t="s">
        <v>41</v>
      </c>
      <c r="C13" s="12">
        <f>C7-C12</f>
        <v>168685.47569700005</v>
      </c>
      <c r="D13" s="12">
        <f>D7-D12</f>
        <v>196577.7899649372</v>
      </c>
      <c r="E13" s="12">
        <f t="shared" ref="E13" si="3">C13-D13</f>
        <v>-27892.314267937152</v>
      </c>
      <c r="F13" s="13">
        <f t="shared" ref="F13" si="4">E13/D13</f>
        <v>-0.141889448817754</v>
      </c>
    </row>
    <row r="14" spans="2:6" x14ac:dyDescent="0.35">
      <c r="B14" s="14" t="str" vm="14">
        <f>CUBEMEMBER("pbiazure://api.powerbi.com a17e9212-e5a8-47c6-999a-02ae22de8953 Model","[Accounts].[Type].&amp;[Expense]")</f>
        <v>Expense</v>
      </c>
      <c r="C14" s="15" vm="67">
        <f t="shared" ref="C14:D39" si="5">CUBEVALUE("pbiazure://api.powerbi.com a17e9212-e5a8-47c6-999a-02ae22de8953 Model",$C$2,$C$3,$B14,C$6)</f>
        <v>-103311.53795000001</v>
      </c>
      <c r="D14" s="15" vm="245">
        <f t="shared" si="5"/>
        <v>-96475.49705856292</v>
      </c>
      <c r="E14" s="15">
        <f t="shared" si="1"/>
        <v>-6836.0408914370928</v>
      </c>
      <c r="F14" s="16">
        <f t="shared" si="2"/>
        <v>7.0857793946243711E-2</v>
      </c>
    </row>
    <row r="15" spans="2:6" x14ac:dyDescent="0.35">
      <c r="B15" s="3" t="str" vm="12">
        <f>CUBEMEMBER("pbiazure://api.powerbi.com a17e9212-e5a8-47c6-999a-02ae22de8953 Model",{"[Accounts].[Type].&amp;[Expense]","[Accounts].[Name].&amp;[Advertising]"})</f>
        <v>Advertising</v>
      </c>
      <c r="C15" vm="64">
        <f t="shared" si="5"/>
        <v>-17518.969991000005</v>
      </c>
      <c r="D15" vm="240">
        <f t="shared" si="5"/>
        <v>-19769.665990100002</v>
      </c>
      <c r="E15">
        <f t="shared" si="1"/>
        <v>2250.6959990999967</v>
      </c>
      <c r="F15" s="5">
        <f t="shared" si="2"/>
        <v>-0.113845929426783</v>
      </c>
    </row>
    <row r="16" spans="2:6" x14ac:dyDescent="0.35">
      <c r="B16" s="3" t="str" vm="10">
        <f>CUBEMEMBER("pbiazure://api.powerbi.com a17e9212-e5a8-47c6-999a-02ae22de8953 Model",{"[Accounts].[Type].&amp;[Expense]","[Accounts].[Name].&amp;[Bank Fees]"})</f>
        <v>Bank Fees</v>
      </c>
      <c r="C16" vm="59">
        <f t="shared" si="5"/>
        <v>-387.301106</v>
      </c>
      <c r="D16" vm="233">
        <f t="shared" si="5"/>
        <v>-393.48121659999998</v>
      </c>
      <c r="E16">
        <f t="shared" si="1"/>
        <v>6.1801105999999777</v>
      </c>
      <c r="F16" s="5">
        <f t="shared" si="2"/>
        <v>-1.5706240448784811E-2</v>
      </c>
    </row>
    <row r="17" spans="2:6" x14ac:dyDescent="0.35">
      <c r="B17" s="3" t="str" vm="8">
        <f>CUBEMEMBER("pbiazure://api.powerbi.com a17e9212-e5a8-47c6-999a-02ae22de8953 Model",{"[Accounts].[Type].&amp;[Expense]","[Accounts].[Name].&amp;[Cleaning]"})</f>
        <v>Cleaning</v>
      </c>
      <c r="C17" vm="55">
        <f t="shared" si="5"/>
        <v>-611.00477799999999</v>
      </c>
      <c r="D17" vm="228">
        <f t="shared" si="5"/>
        <v>-625.60525580000001</v>
      </c>
      <c r="E17">
        <f t="shared" si="1"/>
        <v>14.600477800000021</v>
      </c>
      <c r="F17" s="5">
        <f t="shared" si="2"/>
        <v>-2.3338163585805382E-2</v>
      </c>
    </row>
    <row r="18" spans="2:6" x14ac:dyDescent="0.35">
      <c r="B18" s="3" t="str" vm="6">
        <f>CUBEMEMBER("pbiazure://api.powerbi.com a17e9212-e5a8-47c6-999a-02ae22de8953 Model",{"[Accounts].[Type].&amp;[Expense]","[Accounts].[Name].&amp;[Consulting &amp; Accounting]"})</f>
        <v>Consulting &amp; Accounting</v>
      </c>
      <c r="C18" vm="51">
        <f t="shared" si="5"/>
        <v>-256.72378600000002</v>
      </c>
      <c r="D18" vm="244">
        <f t="shared" si="5"/>
        <v>-232.18116425870002</v>
      </c>
      <c r="E18">
        <f t="shared" si="1"/>
        <v>-24.542621741299996</v>
      </c>
      <c r="F18" s="5">
        <f t="shared" si="2"/>
        <v>0.10570462000937426</v>
      </c>
    </row>
    <row r="19" spans="2:6" x14ac:dyDescent="0.35">
      <c r="B19" s="3" t="str" vm="4">
        <f>CUBEMEMBER("pbiazure://api.powerbi.com a17e9212-e5a8-47c6-999a-02ae22de8953 Model",{"[Accounts].[Type].&amp;[Expense]","[Accounts].[Name].&amp;[Dues &amp; Subscriptions]"})</f>
        <v>Dues &amp; Subscriptions</v>
      </c>
      <c r="C19" vm="47">
        <f t="shared" si="5"/>
        <v>-2006.1343199999999</v>
      </c>
      <c r="D19" vm="216">
        <f t="shared" si="5"/>
        <v>-2015.17049534649</v>
      </c>
      <c r="E19">
        <f t="shared" si="1"/>
        <v>9.036175346490154</v>
      </c>
      <c r="F19" s="5">
        <f t="shared" si="2"/>
        <v>-4.4840748548854014E-3</v>
      </c>
    </row>
    <row r="20" spans="2:6" x14ac:dyDescent="0.35">
      <c r="B20" s="3" t="str" vm="36">
        <f>CUBEMEMBER("pbiazure://api.powerbi.com a17e9212-e5a8-47c6-999a-02ae22de8953 Model",{"[Accounts].[Type].&amp;[Expense]","[Accounts].[Name].&amp;[Entertainment]"})</f>
        <v>Entertainment</v>
      </c>
      <c r="C20" vm="43">
        <f t="shared" si="5"/>
        <v>-2531.415152</v>
      </c>
      <c r="D20" vm="224">
        <f t="shared" si="5"/>
        <v>-2864.8646545955799</v>
      </c>
      <c r="E20">
        <f t="shared" si="1"/>
        <v>333.44950259557982</v>
      </c>
      <c r="F20" s="5">
        <f t="shared" si="2"/>
        <v>-0.11639275944875357</v>
      </c>
    </row>
    <row r="21" spans="2:6" x14ac:dyDescent="0.35">
      <c r="B21" s="3" t="str" vm="34">
        <f>CUBEMEMBER("pbiazure://api.powerbi.com a17e9212-e5a8-47c6-999a-02ae22de8953 Model",{"[Accounts].[Type].&amp;[Expense]","[Accounts].[Name].&amp;[Freight &amp; Courier]"})</f>
        <v>Freight &amp; Courier</v>
      </c>
      <c r="C21" vm="39">
        <f t="shared" si="5"/>
        <v>-136.78942500000002</v>
      </c>
      <c r="D21" vm="238">
        <f t="shared" si="5"/>
        <v>-150.46836750000006</v>
      </c>
      <c r="E21">
        <f t="shared" si="1"/>
        <v>13.678942500000034</v>
      </c>
      <c r="F21" s="5">
        <f t="shared" si="2"/>
        <v>-9.0909090909091092E-2</v>
      </c>
    </row>
    <row r="22" spans="2:6" x14ac:dyDescent="0.35">
      <c r="B22" s="3" t="str" vm="31">
        <f>CUBEMEMBER("pbiazure://api.powerbi.com a17e9212-e5a8-47c6-999a-02ae22de8953 Model",{"[Accounts].[Type].&amp;[Expense]","[Accounts].[Name].&amp;[General Expenses]"})</f>
        <v>General Expenses</v>
      </c>
      <c r="C22" vm="66">
        <f t="shared" si="5"/>
        <v>-1634.463878</v>
      </c>
      <c r="D22" vm="227">
        <f t="shared" si="5"/>
        <v>-1489.2007778915201</v>
      </c>
      <c r="E22">
        <f t="shared" si="1"/>
        <v>-145.26310010847988</v>
      </c>
      <c r="F22" s="5">
        <f t="shared" si="2"/>
        <v>9.7544335367693094E-2</v>
      </c>
    </row>
    <row r="23" spans="2:6" x14ac:dyDescent="0.35">
      <c r="B23" s="3" t="str" vm="28">
        <f>CUBEMEMBER("pbiazure://api.powerbi.com a17e9212-e5a8-47c6-999a-02ae22de8953 Model",{"[Accounts].[Type].&amp;[Expense]","[Accounts].[Name].&amp;[Income Tax Expense]"})</f>
        <v>Income Tax Expense</v>
      </c>
      <c r="C23" vm="63">
        <f t="shared" si="5"/>
        <v>0</v>
      </c>
      <c r="D23" vm="229">
        <f t="shared" si="5"/>
        <v>0</v>
      </c>
      <c r="E23">
        <f t="shared" si="1"/>
        <v>0</v>
      </c>
      <c r="F23" s="5" t="e">
        <f t="shared" si="2"/>
        <v>#DIV/0!</v>
      </c>
    </row>
    <row r="24" spans="2:6" x14ac:dyDescent="0.35">
      <c r="B24" s="3" t="str" vm="25">
        <f>CUBEMEMBER("pbiazure://api.powerbi.com a17e9212-e5a8-47c6-999a-02ae22de8953 Model",{"[Accounts].[Type].&amp;[Expense]","[Accounts].[Name].&amp;[Legal expenses]"})</f>
        <v>Legal expenses</v>
      </c>
      <c r="C24" vm="58">
        <f t="shared" si="5"/>
        <v>-4090.91</v>
      </c>
      <c r="D24" vm="230">
        <f t="shared" si="5"/>
        <v>-5000</v>
      </c>
      <c r="E24">
        <f t="shared" si="1"/>
        <v>909.09000000000015</v>
      </c>
      <c r="F24" s="5">
        <f t="shared" si="2"/>
        <v>-0.18181800000000004</v>
      </c>
    </row>
    <row r="25" spans="2:6" x14ac:dyDescent="0.35">
      <c r="B25" s="3" t="str" vm="23">
        <f>CUBEMEMBER("pbiazure://api.powerbi.com a17e9212-e5a8-47c6-999a-02ae22de8953 Model",{"[Accounts].[Type].&amp;[Expense]","[Accounts].[Name].&amp;[Light, Power, Heating]"})</f>
        <v>Light, Power, Heating</v>
      </c>
      <c r="C25" vm="54">
        <f t="shared" si="5"/>
        <v>-1505.6413990000001</v>
      </c>
      <c r="D25" vm="221">
        <f t="shared" si="5"/>
        <v>-1551.7325389000002</v>
      </c>
      <c r="E25">
        <f t="shared" si="1"/>
        <v>46.091139900000144</v>
      </c>
      <c r="F25" s="5">
        <f t="shared" si="2"/>
        <v>-2.9703018235780154E-2</v>
      </c>
    </row>
    <row r="26" spans="2:6" x14ac:dyDescent="0.35">
      <c r="B26" s="3" t="str" vm="21">
        <f>CUBEMEMBER("pbiazure://api.powerbi.com a17e9212-e5a8-47c6-999a-02ae22de8953 Model",{"[Accounts].[Type].&amp;[Expense]","[Accounts].[Name].&amp;[Motor Vehicle Expenses]"})</f>
        <v>Motor Vehicle Expenses</v>
      </c>
      <c r="C26" vm="50">
        <f t="shared" si="5"/>
        <v>-1779.0610999999999</v>
      </c>
      <c r="D26" vm="242">
        <f t="shared" si="5"/>
        <v>-1869.07221</v>
      </c>
      <c r="E26">
        <f t="shared" si="1"/>
        <v>90.011110000000144</v>
      </c>
      <c r="F26" s="5">
        <f t="shared" si="2"/>
        <v>-4.8158176831488035E-2</v>
      </c>
    </row>
    <row r="27" spans="2:6" x14ac:dyDescent="0.35">
      <c r="B27" s="3" t="str" vm="19">
        <f>CUBEMEMBER("pbiazure://api.powerbi.com a17e9212-e5a8-47c6-999a-02ae22de8953 Model",{"[Accounts].[Type].&amp;[Expense]","[Accounts].[Name].&amp;[Office Expenses]"})</f>
        <v>Office Expenses</v>
      </c>
      <c r="C27" vm="46">
        <f t="shared" si="5"/>
        <v>-2302.3721750000004</v>
      </c>
      <c r="D27" vm="226">
        <f t="shared" si="5"/>
        <v>-2281.0683924999998</v>
      </c>
      <c r="E27">
        <f t="shared" si="1"/>
        <v>-21.30378250000058</v>
      </c>
      <c r="F27" s="5">
        <f t="shared" si="2"/>
        <v>9.339387880716768E-3</v>
      </c>
    </row>
    <row r="28" spans="2:6" x14ac:dyDescent="0.35">
      <c r="B28" s="3" t="str" vm="17">
        <f>CUBEMEMBER("pbiazure://api.powerbi.com a17e9212-e5a8-47c6-999a-02ae22de8953 Model",{"[Accounts].[Type].&amp;[Expense]","[Accounts].[Name].&amp;[Payroll Tax Expense]"})</f>
        <v>Payroll Tax Expense</v>
      </c>
      <c r="C28" vm="42">
        <f t="shared" si="5"/>
        <v>-1853.8916439999998</v>
      </c>
      <c r="D28" vm="223">
        <f t="shared" si="5"/>
        <v>-1934.4926951900002</v>
      </c>
      <c r="E28">
        <f t="shared" si="1"/>
        <v>80.601051190000362</v>
      </c>
      <c r="F28" s="5">
        <f t="shared" si="2"/>
        <v>-4.1665213515879401E-2</v>
      </c>
    </row>
    <row r="29" spans="2:6" x14ac:dyDescent="0.35">
      <c r="B29" s="3" t="str" vm="15">
        <f>CUBEMEMBER("pbiazure://api.powerbi.com a17e9212-e5a8-47c6-999a-02ae22de8953 Model",{"[Accounts].[Type].&amp;[Expense]","[Accounts].[Name].&amp;[Printing &amp; Stationery]"})</f>
        <v>Printing &amp; Stationery</v>
      </c>
      <c r="C29" vm="38">
        <f t="shared" si="5"/>
        <v>-450.64362600000004</v>
      </c>
      <c r="D29" vm="241">
        <f t="shared" si="5"/>
        <v>-431.14102409066504</v>
      </c>
      <c r="E29">
        <f t="shared" si="1"/>
        <v>-19.502601909334999</v>
      </c>
      <c r="F29" s="5">
        <f t="shared" si="2"/>
        <v>4.5234855463983356E-2</v>
      </c>
    </row>
    <row r="30" spans="2:6" x14ac:dyDescent="0.35">
      <c r="B30" s="3" t="str" vm="13">
        <f>CUBEMEMBER("pbiazure://api.powerbi.com a17e9212-e5a8-47c6-999a-02ae22de8953 Model",{"[Accounts].[Type].&amp;[Expense]","[Accounts].[Name].&amp;[Rent]"})</f>
        <v>Rent</v>
      </c>
      <c r="C30" vm="65">
        <f t="shared" si="5"/>
        <v>-21945.21977</v>
      </c>
      <c r="D30" vm="225">
        <f t="shared" si="5"/>
        <v>-22724.11289579</v>
      </c>
      <c r="E30">
        <f t="shared" si="1"/>
        <v>778.89312579000034</v>
      </c>
      <c r="F30" s="5">
        <f t="shared" si="2"/>
        <v>-3.4276063024414147E-2</v>
      </c>
    </row>
    <row r="31" spans="2:6" x14ac:dyDescent="0.35">
      <c r="B31" s="3" t="str" vm="11">
        <f>CUBEMEMBER("pbiazure://api.powerbi.com a17e9212-e5a8-47c6-999a-02ae22de8953 Model",{"[Accounts].[Type].&amp;[Expense]","[Accounts].[Name].&amp;[Repairs and Maintenance]"})</f>
        <v>Repairs and Maintenance</v>
      </c>
      <c r="C31" vm="62">
        <f t="shared" si="5"/>
        <v>-2522.4374359999997</v>
      </c>
      <c r="D31" vm="236">
        <f t="shared" si="5"/>
        <v>-2774.6811796000002</v>
      </c>
      <c r="E31">
        <f t="shared" si="1"/>
        <v>252.24374360000047</v>
      </c>
      <c r="F31" s="5">
        <f t="shared" si="2"/>
        <v>-9.0909090909091078E-2</v>
      </c>
    </row>
    <row r="32" spans="2:6" x14ac:dyDescent="0.35">
      <c r="B32" s="3" t="str" vm="9">
        <f>CUBEMEMBER("pbiazure://api.powerbi.com a17e9212-e5a8-47c6-999a-02ae22de8953 Model",{"[Accounts].[Type].&amp;[Expense]","[Accounts].[Name].&amp;[Subscriptions]"})</f>
        <v>Subscriptions</v>
      </c>
      <c r="C32" vm="57">
        <f t="shared" si="5"/>
        <v>-120</v>
      </c>
      <c r="D32" vm="243">
        <f t="shared" si="5"/>
        <v>-120</v>
      </c>
      <c r="E32">
        <f t="shared" si="1"/>
        <v>0</v>
      </c>
      <c r="F32" s="5">
        <f t="shared" si="2"/>
        <v>0</v>
      </c>
    </row>
    <row r="33" spans="2:6" x14ac:dyDescent="0.35">
      <c r="B33" s="3" t="str" vm="7">
        <f>CUBEMEMBER("pbiazure://api.powerbi.com a17e9212-e5a8-47c6-999a-02ae22de8953 Model",{"[Accounts].[Type].&amp;[Expense]","[Accounts].[Name].&amp;[Telephone &amp; Internet]"})</f>
        <v>Telephone &amp; Internet</v>
      </c>
      <c r="C33" vm="53">
        <f t="shared" si="5"/>
        <v>-424.49958600000002</v>
      </c>
      <c r="D33" vm="234">
        <f t="shared" si="5"/>
        <v>-442.99354460000006</v>
      </c>
      <c r="E33">
        <f t="shared" si="1"/>
        <v>18.493958600000042</v>
      </c>
      <c r="F33" s="5">
        <f t="shared" si="2"/>
        <v>-4.1747693223609196E-2</v>
      </c>
    </row>
    <row r="34" spans="2:6" x14ac:dyDescent="0.35">
      <c r="B34" s="3" t="str" vm="5">
        <f>CUBEMEMBER("pbiazure://api.powerbi.com a17e9212-e5a8-47c6-999a-02ae22de8953 Model",{"[Accounts].[Type].&amp;[Expense]","[Accounts].[Name].&amp;[Travel - National]"})</f>
        <v>Travel - National</v>
      </c>
      <c r="C34" vm="49">
        <f t="shared" si="5"/>
        <v>-1034.0587779999998</v>
      </c>
      <c r="D34" vm="215">
        <f t="shared" si="5"/>
        <v>-1095.5646558000001</v>
      </c>
      <c r="E34">
        <f t="shared" si="1"/>
        <v>61.505877800000235</v>
      </c>
      <c r="F34" s="5">
        <f t="shared" si="2"/>
        <v>-5.6140801434569454E-2</v>
      </c>
    </row>
    <row r="35" spans="2:6" x14ac:dyDescent="0.35">
      <c r="B35" s="3" t="str" vm="3">
        <f>CUBEMEMBER("pbiazure://api.powerbi.com a17e9212-e5a8-47c6-999a-02ae22de8953 Model",{"[Accounts].[Type].&amp;[Expense]","[Accounts].[Name].&amp;[Wages and Salaries]"})</f>
        <v>Wages and Salaries</v>
      </c>
      <c r="C35" vm="45">
        <f t="shared" si="5"/>
        <v>-40200</v>
      </c>
      <c r="D35" vm="232">
        <f t="shared" si="5"/>
        <v>-28710</v>
      </c>
      <c r="E35">
        <f t="shared" si="1"/>
        <v>-11490</v>
      </c>
      <c r="F35" s="5">
        <f t="shared" si="2"/>
        <v>0.40020898641588298</v>
      </c>
    </row>
    <row r="36" spans="2:6" x14ac:dyDescent="0.35">
      <c r="B36" s="2" t="str" vm="35">
        <f>CUBEMEMBER("pbiazure://api.powerbi.com a17e9212-e5a8-47c6-999a-02ae22de8953 Model","[Accounts].[Type].&amp;[Overheads]")</f>
        <v>Overheads</v>
      </c>
      <c r="C36" vm="41">
        <f t="shared" si="5"/>
        <v>-55595.547158000001</v>
      </c>
      <c r="D36" vm="218">
        <f t="shared" si="5"/>
        <v>-76656.153932500049</v>
      </c>
      <c r="E36">
        <f t="shared" si="1"/>
        <v>21060.606774500047</v>
      </c>
      <c r="F36" s="5">
        <f t="shared" si="2"/>
        <v>-0.27474123986242605</v>
      </c>
    </row>
    <row r="37" spans="2:6" x14ac:dyDescent="0.35">
      <c r="B37" s="14" t="str" vm="33">
        <f>CUBEMEMBER("pbiazure://api.powerbi.com a17e9212-e5a8-47c6-999a-02ae22de8953 Model","[Accounts].[Type].&amp;[OtherIncome]")</f>
        <v>OtherIncome</v>
      </c>
      <c r="C37" s="15" vm="68">
        <f t="shared" si="5"/>
        <v>97.05</v>
      </c>
      <c r="D37" s="15" vm="235">
        <f t="shared" si="5"/>
        <v>106.75500000000001</v>
      </c>
      <c r="E37" s="15">
        <f t="shared" si="1"/>
        <v>-9.7050000000000125</v>
      </c>
      <c r="F37" s="16">
        <f t="shared" si="2"/>
        <v>-9.0909090909091023E-2</v>
      </c>
    </row>
    <row r="38" spans="2:6" x14ac:dyDescent="0.35">
      <c r="B38" s="6" t="str" vm="30">
        <f>CUBEMEMBER("pbiazure://api.powerbi.com a17e9212-e5a8-47c6-999a-02ae22de8953 Model",{"[Accounts].[Type].&amp;[OtherIncome]","[Accounts].[Name].&amp;[Interest Income]"})</f>
        <v>Interest Income</v>
      </c>
      <c r="C38" s="7" vm="37">
        <f t="shared" si="5"/>
        <v>97.05</v>
      </c>
      <c r="D38" s="7" vm="222">
        <f t="shared" si="5"/>
        <v>106.75500000000001</v>
      </c>
      <c r="E38" s="7">
        <f t="shared" si="1"/>
        <v>-9.7050000000000125</v>
      </c>
      <c r="F38" s="8">
        <f t="shared" si="2"/>
        <v>-9.0909090909091023E-2</v>
      </c>
    </row>
    <row r="39" spans="2:6" ht="15" thickBot="1" x14ac:dyDescent="0.4">
      <c r="B39" s="17" t="str" vm="27">
        <f>CUBEMEMBER("pbiazure://api.powerbi.com a17e9212-e5a8-47c6-999a-02ae22de8953 Model","[Accounts].[Type].[All]","EBIT")</f>
        <v>EBIT</v>
      </c>
      <c r="C39" s="18" vm="61">
        <f t="shared" si="5"/>
        <v>-4394.9047240000036</v>
      </c>
      <c r="D39" s="18" vm="220">
        <f t="shared" si="5"/>
        <v>9417.5645164403068</v>
      </c>
      <c r="E39" s="18">
        <f t="shared" si="1"/>
        <v>-13812.46924044031</v>
      </c>
      <c r="F39" s="19">
        <f t="shared" si="2"/>
        <v>-1.4666710502835196</v>
      </c>
    </row>
    <row r="40" spans="2:6" ht="15" thickTop="1" x14ac:dyDescent="0.35"/>
  </sheetData>
  <conditionalFormatting sqref="E7:E3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{8BBBE9EB-BC53-4278-A1CE-A0E06E2675CE}</x14:id>
        </ext>
      </extLst>
    </cfRule>
  </conditionalFormatting>
  <pageMargins left="0" right="0" top="0" bottom="0" header="0" footer="0"/>
  <pageSetup paperSize="9" orientation="portrait"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BBBE9EB-BC53-4278-A1CE-A0E06E2675C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E7:E39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237B8-E88B-4AC5-8315-2BBB2AB93F0B}">
  <dimension ref="B2:AB34"/>
  <sheetViews>
    <sheetView zoomScale="99" zoomScaleNormal="99" zoomScaleSheetLayoutView="100" workbookViewId="0">
      <selection activeCell="W7" sqref="W7"/>
    </sheetView>
  </sheetViews>
  <sheetFormatPr defaultRowHeight="14.5" x14ac:dyDescent="0.35"/>
  <cols>
    <col min="1" max="1" width="4.81640625" customWidth="1"/>
    <col min="2" max="2" width="26.36328125" bestFit="1" customWidth="1"/>
    <col min="3" max="3" width="15.453125" bestFit="1" customWidth="1"/>
    <col min="4" max="5" width="8.7265625" bestFit="1" customWidth="1"/>
    <col min="6" max="6" width="4.81640625" hidden="1" customWidth="1"/>
    <col min="7" max="7" width="7.81640625" hidden="1" customWidth="1"/>
    <col min="8" max="8" width="4.81640625" hidden="1" customWidth="1"/>
    <col min="9" max="9" width="7.81640625" hidden="1" customWidth="1"/>
    <col min="10" max="10" width="4.81640625" hidden="1" customWidth="1"/>
    <col min="11" max="11" width="7.81640625" hidden="1" customWidth="1"/>
    <col min="12" max="12" width="4.81640625" hidden="1" customWidth="1"/>
    <col min="13" max="13" width="7.81640625" hidden="1" customWidth="1"/>
    <col min="14" max="14" width="4.81640625" hidden="1" customWidth="1"/>
    <col min="15" max="15" width="7.81640625" hidden="1" customWidth="1"/>
    <col min="16" max="16" width="4.81640625" hidden="1" customWidth="1"/>
    <col min="17" max="17" width="10.7265625" hidden="1" customWidth="1"/>
    <col min="18" max="18" width="10.26953125" bestFit="1" customWidth="1"/>
    <col min="19" max="19" width="9" bestFit="1" customWidth="1"/>
    <col min="20" max="20" width="11.26953125" bestFit="1" customWidth="1"/>
    <col min="21" max="21" width="10.26953125" bestFit="1" customWidth="1"/>
    <col min="22" max="28" width="11.26953125" bestFit="1" customWidth="1"/>
    <col min="29" max="29" width="9" bestFit="1" customWidth="1"/>
    <col min="30" max="30" width="7.6328125" bestFit="1" customWidth="1"/>
    <col min="31" max="31" width="9" bestFit="1" customWidth="1"/>
    <col min="32" max="32" width="7.6328125" bestFit="1" customWidth="1"/>
    <col min="33" max="33" width="9.08984375" bestFit="1" customWidth="1"/>
    <col min="34" max="34" width="7.6328125" bestFit="1" customWidth="1"/>
    <col min="35" max="35" width="9" bestFit="1" customWidth="1"/>
    <col min="36" max="36" width="8.26953125" bestFit="1" customWidth="1"/>
    <col min="37" max="37" width="9.08984375" bestFit="1" customWidth="1"/>
    <col min="38" max="38" width="9.26953125" bestFit="1" customWidth="1"/>
    <col min="39" max="39" width="10.6328125" bestFit="1" customWidth="1"/>
    <col min="40" max="40" width="9.26953125" bestFit="1" customWidth="1"/>
    <col min="41" max="41" width="11.6328125" bestFit="1" customWidth="1"/>
    <col min="42" max="42" width="9.26953125" bestFit="1" customWidth="1"/>
    <col min="43" max="43" width="11.6328125" bestFit="1" customWidth="1"/>
    <col min="44" max="44" width="9.26953125" bestFit="1" customWidth="1"/>
    <col min="45" max="45" width="10.6328125" bestFit="1" customWidth="1"/>
    <col min="46" max="46" width="9.26953125" bestFit="1" customWidth="1"/>
    <col min="47" max="47" width="9.08984375" bestFit="1" customWidth="1"/>
    <col min="48" max="48" width="7.6328125" bestFit="1" customWidth="1"/>
    <col min="49" max="49" width="7.7265625" bestFit="1" customWidth="1"/>
    <col min="50" max="50" width="9.26953125" bestFit="1" customWidth="1"/>
    <col min="51" max="51" width="7.7265625" bestFit="1" customWidth="1"/>
    <col min="52" max="52" width="8.6328125" bestFit="1" customWidth="1"/>
    <col min="53" max="53" width="7.7265625" bestFit="1" customWidth="1"/>
    <col min="54" max="54" width="9.26953125" bestFit="1" customWidth="1"/>
    <col min="55" max="55" width="7.7265625" bestFit="1" customWidth="1"/>
    <col min="56" max="56" width="9.26953125" bestFit="1" customWidth="1"/>
    <col min="57" max="57" width="12.6328125" bestFit="1" customWidth="1"/>
    <col min="58" max="58" width="10.26953125" bestFit="1" customWidth="1"/>
  </cols>
  <sheetData>
    <row r="2" spans="2:28" x14ac:dyDescent="0.35">
      <c r="B2" s="1" t="s">
        <v>34</v>
      </c>
      <c r="C2" t="s" vm="1">
        <v>36</v>
      </c>
    </row>
    <row r="3" spans="2:28" x14ac:dyDescent="0.35">
      <c r="B3" s="1" t="s">
        <v>38</v>
      </c>
      <c r="C3" t="s" vm="2">
        <v>35</v>
      </c>
    </row>
    <row r="4" spans="2:28" x14ac:dyDescent="0.35">
      <c r="B4" s="1" t="s">
        <v>45</v>
      </c>
      <c r="C4" t="s" vm="69">
        <v>46</v>
      </c>
    </row>
    <row r="6" spans="2:28" x14ac:dyDescent="0.35">
      <c r="C6" s="1" t="s">
        <v>42</v>
      </c>
    </row>
    <row r="7" spans="2:28" x14ac:dyDescent="0.35">
      <c r="C7" t="s">
        <v>48</v>
      </c>
      <c r="E7" t="s">
        <v>49</v>
      </c>
      <c r="G7" t="s">
        <v>50</v>
      </c>
      <c r="I7" t="s">
        <v>51</v>
      </c>
      <c r="K7" t="s">
        <v>52</v>
      </c>
      <c r="M7" t="s">
        <v>53</v>
      </c>
      <c r="O7" t="s">
        <v>54</v>
      </c>
      <c r="Q7" t="s">
        <v>55</v>
      </c>
      <c r="S7" t="s">
        <v>56</v>
      </c>
      <c r="U7" t="s">
        <v>57</v>
      </c>
      <c r="W7" t="s">
        <v>58</v>
      </c>
      <c r="Y7" t="s">
        <v>59</v>
      </c>
      <c r="AA7" t="s">
        <v>43</v>
      </c>
      <c r="AB7" t="s">
        <v>44</v>
      </c>
    </row>
    <row r="8" spans="2:28" x14ac:dyDescent="0.35">
      <c r="B8" s="1" t="s">
        <v>0</v>
      </c>
      <c r="C8" t="s">
        <v>31</v>
      </c>
      <c r="D8" t="s">
        <v>33</v>
      </c>
      <c r="E8" t="s">
        <v>31</v>
      </c>
      <c r="F8" t="s">
        <v>33</v>
      </c>
      <c r="G8" t="s">
        <v>31</v>
      </c>
      <c r="H8" t="s">
        <v>33</v>
      </c>
      <c r="I8" t="s">
        <v>31</v>
      </c>
      <c r="J8" t="s">
        <v>33</v>
      </c>
      <c r="K8" t="s">
        <v>31</v>
      </c>
      <c r="L8" t="s">
        <v>33</v>
      </c>
      <c r="M8" t="s">
        <v>31</v>
      </c>
      <c r="N8" t="s">
        <v>33</v>
      </c>
      <c r="O8" t="s">
        <v>31</v>
      </c>
      <c r="P8" t="s">
        <v>33</v>
      </c>
      <c r="Q8" t="s">
        <v>31</v>
      </c>
      <c r="R8" t="s">
        <v>33</v>
      </c>
      <c r="S8" t="s">
        <v>31</v>
      </c>
      <c r="T8" t="s">
        <v>33</v>
      </c>
      <c r="U8" t="s">
        <v>31</v>
      </c>
      <c r="V8" t="s">
        <v>33</v>
      </c>
      <c r="W8" t="s">
        <v>31</v>
      </c>
      <c r="X8" t="s">
        <v>33</v>
      </c>
      <c r="Y8" t="s">
        <v>31</v>
      </c>
      <c r="Z8" t="s">
        <v>33</v>
      </c>
    </row>
    <row r="9" spans="2:28" x14ac:dyDescent="0.35">
      <c r="B9" s="2" t="s">
        <v>1</v>
      </c>
      <c r="C9" s="4">
        <v>747.25609699999995</v>
      </c>
      <c r="D9" s="4">
        <v>821.98170670000002</v>
      </c>
      <c r="E9" s="4">
        <v>753.06343700000002</v>
      </c>
      <c r="F9" s="4">
        <v>1807.3377895648409</v>
      </c>
      <c r="G9" s="4">
        <v>752.79132700000002</v>
      </c>
      <c r="H9" s="4">
        <v>752.79132700000002</v>
      </c>
      <c r="I9" s="4">
        <v>1494.780268</v>
      </c>
      <c r="J9" s="4">
        <v>1400</v>
      </c>
      <c r="K9" s="4">
        <v>766.50110299999994</v>
      </c>
      <c r="L9" s="4">
        <v>800</v>
      </c>
      <c r="M9" s="4">
        <v>767.63080300000001</v>
      </c>
      <c r="N9" s="4">
        <v>600</v>
      </c>
      <c r="O9" s="4">
        <v>2366.079878</v>
      </c>
      <c r="P9" s="4">
        <v>2000</v>
      </c>
      <c r="Q9" s="4">
        <v>786.318173</v>
      </c>
      <c r="R9" s="4">
        <v>700</v>
      </c>
      <c r="S9" s="4">
        <v>1870.207592</v>
      </c>
      <c r="T9" s="4">
        <v>1870.207592</v>
      </c>
      <c r="U9" s="4">
        <v>24644.658199999998</v>
      </c>
      <c r="V9" s="4">
        <v>24644.658200000002</v>
      </c>
      <c r="W9" s="4">
        <v>16576.177817000003</v>
      </c>
      <c r="X9" s="4">
        <v>23511.865079900002</v>
      </c>
      <c r="Y9" s="4">
        <v>24069.565666999999</v>
      </c>
      <c r="Z9" s="4">
        <v>26476.522233700001</v>
      </c>
      <c r="AA9" s="4">
        <v>75595.03036199999</v>
      </c>
      <c r="AB9" s="4">
        <v>85385.363928864841</v>
      </c>
    </row>
    <row r="10" spans="2:28" x14ac:dyDescent="0.35">
      <c r="B10" s="3" t="s">
        <v>60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>
        <v>6935.6872629000009</v>
      </c>
      <c r="Y10" s="4"/>
      <c r="Z10" s="4"/>
      <c r="AA10" s="4"/>
      <c r="AB10" s="4">
        <v>6935.6872629000009</v>
      </c>
    </row>
    <row r="11" spans="2:28" x14ac:dyDescent="0.35">
      <c r="B11" s="3" t="s">
        <v>7</v>
      </c>
      <c r="C11" s="4">
        <v>747.25609699999995</v>
      </c>
      <c r="D11" s="4">
        <v>821.98170670000002</v>
      </c>
      <c r="E11" s="4">
        <v>753.06343700000002</v>
      </c>
      <c r="F11" s="4">
        <v>1807.3377895648409</v>
      </c>
      <c r="G11" s="4">
        <v>752.79132700000002</v>
      </c>
      <c r="H11" s="4">
        <v>752.79132700000002</v>
      </c>
      <c r="I11" s="4">
        <v>1494.780268</v>
      </c>
      <c r="J11" s="4">
        <v>1400</v>
      </c>
      <c r="K11" s="4">
        <v>766.50110299999994</v>
      </c>
      <c r="L11" s="4">
        <v>800</v>
      </c>
      <c r="M11" s="4">
        <v>767.63080300000001</v>
      </c>
      <c r="N11" s="4">
        <v>600</v>
      </c>
      <c r="O11" s="4">
        <v>2366.079878</v>
      </c>
      <c r="P11" s="4">
        <v>2000</v>
      </c>
      <c r="Q11" s="4">
        <v>786.318173</v>
      </c>
      <c r="R11" s="4">
        <v>700</v>
      </c>
      <c r="S11" s="4">
        <v>1870.207592</v>
      </c>
      <c r="T11" s="4">
        <v>1870.207592</v>
      </c>
      <c r="U11" s="4">
        <v>24644.658199999998</v>
      </c>
      <c r="V11" s="4">
        <v>24644.658200000002</v>
      </c>
      <c r="W11" s="4">
        <v>16576.177817000003</v>
      </c>
      <c r="X11" s="4">
        <v>16576.177817</v>
      </c>
      <c r="Y11" s="4">
        <v>24069.565666999999</v>
      </c>
      <c r="Z11" s="4">
        <v>26476.522233700001</v>
      </c>
      <c r="AA11" s="4">
        <v>75595.03036199999</v>
      </c>
      <c r="AB11" s="4">
        <v>78449.676665964842</v>
      </c>
    </row>
    <row r="12" spans="2:28" x14ac:dyDescent="0.35">
      <c r="B12" s="2" t="s">
        <v>2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>
        <v>-1527.2310751500004</v>
      </c>
      <c r="W12" s="4"/>
      <c r="X12" s="4">
        <v>-855.24940208400017</v>
      </c>
      <c r="Y12" s="4">
        <v>-3394.6751009999998</v>
      </c>
      <c r="Z12" s="4">
        <v>-3734.1426111000001</v>
      </c>
      <c r="AA12" s="4">
        <v>-3394.6751009999998</v>
      </c>
      <c r="AB12" s="4">
        <v>-6116.6230883340013</v>
      </c>
    </row>
    <row r="13" spans="2:28" x14ac:dyDescent="0.35">
      <c r="B13" s="3" t="s">
        <v>8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>
        <v>-1527.2310751500004</v>
      </c>
      <c r="W13" s="4"/>
      <c r="X13" s="4">
        <v>-855.24940208400017</v>
      </c>
      <c r="Y13" s="4"/>
      <c r="Z13" s="4"/>
      <c r="AA13" s="4"/>
      <c r="AB13" s="4">
        <v>-2382.4804772340003</v>
      </c>
    </row>
    <row r="14" spans="2:28" x14ac:dyDescent="0.35">
      <c r="B14" s="3" t="s">
        <v>9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>
        <v>-3394.6751009999998</v>
      </c>
      <c r="Z14" s="4">
        <v>-3734.1426111000001</v>
      </c>
      <c r="AA14" s="4">
        <v>-3394.6751009999998</v>
      </c>
      <c r="AB14" s="4">
        <v>-3734.1426111000001</v>
      </c>
    </row>
    <row r="15" spans="2:28" x14ac:dyDescent="0.35">
      <c r="B15" s="2" t="s">
        <v>3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>
        <v>-2020</v>
      </c>
      <c r="S15" s="4">
        <v>-20.891363999999999</v>
      </c>
      <c r="T15" s="4">
        <v>-12238.28008260758</v>
      </c>
      <c r="U15" s="4">
        <v>-7880.873364</v>
      </c>
      <c r="V15" s="4">
        <v>-11725.86642042024</v>
      </c>
      <c r="W15" s="4">
        <v>-16986.508481999997</v>
      </c>
      <c r="X15" s="4">
        <v>-20901.018897135138</v>
      </c>
      <c r="Y15" s="4">
        <v>-1466.5099540000001</v>
      </c>
      <c r="Z15" s="4">
        <v>-1613.1609493999999</v>
      </c>
      <c r="AA15" s="4">
        <v>-26354.783163999997</v>
      </c>
      <c r="AB15" s="4">
        <v>-48498.326349562965</v>
      </c>
    </row>
    <row r="16" spans="2:28" x14ac:dyDescent="0.35">
      <c r="B16" s="3" t="s">
        <v>10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>
        <v>-2452.322803</v>
      </c>
      <c r="V16" s="4">
        <v>-2697.5550833000002</v>
      </c>
      <c r="W16" s="4">
        <v>-10963.737188000001</v>
      </c>
      <c r="X16" s="4">
        <v>-12060.110906800002</v>
      </c>
      <c r="Y16" s="4"/>
      <c r="Z16" s="4"/>
      <c r="AA16" s="4">
        <v>-13416.059991</v>
      </c>
      <c r="AB16" s="4">
        <v>-14757.665990100002</v>
      </c>
    </row>
    <row r="17" spans="2:28" x14ac:dyDescent="0.35">
      <c r="B17" s="3" t="s">
        <v>11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>
        <v>-20.891363999999999</v>
      </c>
      <c r="T17" s="4">
        <v>-22.9805004</v>
      </c>
      <c r="U17" s="4">
        <v>-19.909742000000001</v>
      </c>
      <c r="V17" s="4">
        <v>-21.900716200000002</v>
      </c>
      <c r="W17" s="4"/>
      <c r="X17" s="4"/>
      <c r="Y17" s="4">
        <v>0</v>
      </c>
      <c r="Z17" s="4">
        <v>0</v>
      </c>
      <c r="AA17" s="4">
        <v>-40.801106000000004</v>
      </c>
      <c r="AB17" s="4">
        <v>-44.881216600000002</v>
      </c>
    </row>
    <row r="18" spans="2:28" x14ac:dyDescent="0.35">
      <c r="B18" s="3" t="s">
        <v>12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>
        <v>-146.00477799999999</v>
      </c>
      <c r="V18" s="4">
        <v>-160.60525580000001</v>
      </c>
      <c r="W18" s="4"/>
      <c r="X18" s="4"/>
      <c r="Y18" s="4"/>
      <c r="Z18" s="4"/>
      <c r="AA18" s="4">
        <v>-146.00477799999999</v>
      </c>
      <c r="AB18" s="4">
        <v>-160.60525580000001</v>
      </c>
    </row>
    <row r="19" spans="2:28" x14ac:dyDescent="0.35">
      <c r="B19" s="3" t="s">
        <v>13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>
        <v>-29.526467452900004</v>
      </c>
      <c r="U19" s="4">
        <v>-38.492167999999999</v>
      </c>
      <c r="V19" s="4">
        <v>-71.867852252900008</v>
      </c>
      <c r="W19" s="4">
        <v>-40.713182000000003</v>
      </c>
      <c r="X19" s="4">
        <v>-74.310967652900018</v>
      </c>
      <c r="Y19" s="4">
        <v>-40.099556999999997</v>
      </c>
      <c r="Z19" s="4">
        <v>-44.109512700000003</v>
      </c>
      <c r="AA19" s="4">
        <v>-119.30490700000001</v>
      </c>
      <c r="AB19" s="4">
        <v>-219.81480005870006</v>
      </c>
    </row>
    <row r="20" spans="2:28" x14ac:dyDescent="0.35">
      <c r="B20" s="3" t="s">
        <v>14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>
        <v>-2000</v>
      </c>
      <c r="S20" s="4"/>
      <c r="T20" s="4"/>
      <c r="U20" s="4"/>
      <c r="V20" s="4"/>
      <c r="W20" s="4"/>
      <c r="X20" s="4">
        <v>-15.170495346490002</v>
      </c>
      <c r="Y20" s="4"/>
      <c r="Z20" s="4"/>
      <c r="AA20" s="4"/>
      <c r="AB20" s="4">
        <v>-2015.17049534649</v>
      </c>
    </row>
    <row r="21" spans="2:28" x14ac:dyDescent="0.35">
      <c r="B21" s="3" t="s">
        <v>15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>
        <v>-32.173667983160009</v>
      </c>
      <c r="U21" s="4">
        <v>-41.943190000000001</v>
      </c>
      <c r="V21" s="4">
        <v>-70.776837012420017</v>
      </c>
      <c r="W21" s="4">
        <v>-2136.7401359999999</v>
      </c>
      <c r="X21" s="4">
        <v>-2350.4141496000002</v>
      </c>
      <c r="Y21" s="4"/>
      <c r="Z21" s="4"/>
      <c r="AA21" s="4">
        <v>-2178.6833259999999</v>
      </c>
      <c r="AB21" s="4">
        <v>-2453.3646545955799</v>
      </c>
    </row>
    <row r="22" spans="2:28" x14ac:dyDescent="0.35">
      <c r="B22" s="3" t="s">
        <v>16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>
        <v>-145.87942500000003</v>
      </c>
      <c r="Z22" s="4">
        <v>-160.46736750000005</v>
      </c>
      <c r="AA22" s="4">
        <v>-145.87942500000003</v>
      </c>
      <c r="AB22" s="4">
        <v>-160.46736750000005</v>
      </c>
    </row>
    <row r="23" spans="2:28" x14ac:dyDescent="0.35">
      <c r="B23" s="3" t="s">
        <v>17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>
        <v>-117.29134657152001</v>
      </c>
      <c r="U23" s="4">
        <v>-61.308732999999997</v>
      </c>
      <c r="V23" s="4">
        <v>-67.439606300000008</v>
      </c>
      <c r="W23" s="4">
        <v>0</v>
      </c>
      <c r="X23" s="4">
        <v>-203.63081002000004</v>
      </c>
      <c r="Y23" s="4">
        <v>-166.05365</v>
      </c>
      <c r="Z23" s="4">
        <v>-182.65901500000001</v>
      </c>
      <c r="AA23" s="4">
        <v>-227.36238299999999</v>
      </c>
      <c r="AB23" s="4">
        <v>-571.02077789152008</v>
      </c>
    </row>
    <row r="24" spans="2:28" x14ac:dyDescent="0.35">
      <c r="B24" s="3" t="s">
        <v>20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>
        <v>-146.00477799999999</v>
      </c>
      <c r="V24" s="4">
        <v>-160.60525580000001</v>
      </c>
      <c r="W24" s="4">
        <v>-176.189807</v>
      </c>
      <c r="X24" s="4">
        <v>-193.80878770000001</v>
      </c>
      <c r="Y24" s="4">
        <v>-138.716814</v>
      </c>
      <c r="Z24" s="4">
        <v>-152.5884954</v>
      </c>
      <c r="AA24" s="4">
        <v>-460.91139899999996</v>
      </c>
      <c r="AB24" s="4">
        <v>-507.00253890000005</v>
      </c>
    </row>
    <row r="25" spans="2:28" x14ac:dyDescent="0.35">
      <c r="B25" s="3" t="s">
        <v>21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>
        <v>-182.081231</v>
      </c>
      <c r="V25" s="4">
        <v>-200.28935410000003</v>
      </c>
      <c r="W25" s="4">
        <v>-192.58739199999999</v>
      </c>
      <c r="X25" s="4">
        <v>-211.8461312</v>
      </c>
      <c r="Y25" s="4">
        <v>-525.44247700000005</v>
      </c>
      <c r="Z25" s="4">
        <v>-577.98672470000008</v>
      </c>
      <c r="AA25" s="4">
        <v>-900.11109999999996</v>
      </c>
      <c r="AB25" s="4">
        <v>-990.12221000000022</v>
      </c>
    </row>
    <row r="26" spans="2:28" x14ac:dyDescent="0.35">
      <c r="B26" s="3" t="s">
        <v>22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>
        <v>-785.41279499999996</v>
      </c>
      <c r="V26" s="4">
        <v>-863.95407450000016</v>
      </c>
      <c r="W26" s="4">
        <v>-159.69394700000001</v>
      </c>
      <c r="X26" s="4">
        <v>-175.66334170000002</v>
      </c>
      <c r="Y26" s="4">
        <v>-72.054756999999995</v>
      </c>
      <c r="Z26" s="4">
        <v>-79.260232700000003</v>
      </c>
      <c r="AA26" s="4">
        <v>-1017.161499</v>
      </c>
      <c r="AB26" s="4">
        <v>-1118.8776489000002</v>
      </c>
    </row>
    <row r="27" spans="2:28" x14ac:dyDescent="0.35">
      <c r="B27" s="3" t="s">
        <v>23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>
        <v>-916.33864509000011</v>
      </c>
      <c r="W27" s="4"/>
      <c r="X27" s="4">
        <v>-1018.1540501000002</v>
      </c>
      <c r="Y27" s="4"/>
      <c r="Z27" s="4"/>
      <c r="AA27" s="4"/>
      <c r="AB27" s="4">
        <v>-1934.4926951900002</v>
      </c>
    </row>
    <row r="28" spans="2:28" x14ac:dyDescent="0.35">
      <c r="B28" s="3" t="s">
        <v>24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>
        <v>-20</v>
      </c>
      <c r="S28" s="4"/>
      <c r="T28" s="4"/>
      <c r="U28" s="4">
        <v>-28.816033000000001</v>
      </c>
      <c r="V28" s="4">
        <v>-81.79081556492001</v>
      </c>
      <c r="W28" s="4">
        <v>-102.06373600000001</v>
      </c>
      <c r="X28" s="4">
        <v>-145.30920852574502</v>
      </c>
      <c r="Y28" s="4"/>
      <c r="Z28" s="4"/>
      <c r="AA28" s="4">
        <v>-130.87976900000001</v>
      </c>
      <c r="AB28" s="4">
        <v>-247.10002409066504</v>
      </c>
    </row>
    <row r="29" spans="2:28" x14ac:dyDescent="0.35">
      <c r="B29" s="3" t="s">
        <v>25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>
        <v>-12036.3081002</v>
      </c>
      <c r="U29" s="4">
        <v>-1448.393947</v>
      </c>
      <c r="V29" s="4">
        <v>-3629.5414419000008</v>
      </c>
      <c r="W29" s="4">
        <v>-3063.9337340000002</v>
      </c>
      <c r="X29" s="4">
        <v>-4286.6657524900002</v>
      </c>
      <c r="Y29" s="4">
        <v>0</v>
      </c>
      <c r="Z29" s="4">
        <v>0</v>
      </c>
      <c r="AA29" s="4">
        <v>-4512.3276810000007</v>
      </c>
      <c r="AB29" s="4">
        <v>-19952.515294590001</v>
      </c>
    </row>
    <row r="30" spans="2:28" x14ac:dyDescent="0.35">
      <c r="B30" s="3" t="s">
        <v>26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>
        <v>-2432.3068739999999</v>
      </c>
      <c r="V30" s="4">
        <v>-2675.5375614</v>
      </c>
      <c r="W30" s="4">
        <v>-90.130561999999998</v>
      </c>
      <c r="X30" s="4">
        <v>-99.143618200000006</v>
      </c>
      <c r="Y30" s="4"/>
      <c r="Z30" s="4"/>
      <c r="AA30" s="4">
        <v>-2522.4374359999997</v>
      </c>
      <c r="AB30" s="4">
        <v>-2774.6811796000002</v>
      </c>
    </row>
    <row r="31" spans="2:28" x14ac:dyDescent="0.35">
      <c r="B31" s="3" t="s">
        <v>28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>
        <v>-55.083620000000003</v>
      </c>
      <c r="V31" s="4">
        <v>-60.591982000000009</v>
      </c>
      <c r="W31" s="4">
        <v>-60.718798</v>
      </c>
      <c r="X31" s="4">
        <v>-66.790677800000012</v>
      </c>
      <c r="Y31" s="4">
        <v>-69.137168000000003</v>
      </c>
      <c r="Z31" s="4">
        <v>-76.050884800000006</v>
      </c>
      <c r="AA31" s="4">
        <v>-184.93958600000002</v>
      </c>
      <c r="AB31" s="4">
        <v>-203.43354460000003</v>
      </c>
    </row>
    <row r="32" spans="2:28" x14ac:dyDescent="0.35">
      <c r="B32" s="3" t="s">
        <v>29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>
        <v>-42.792671999999996</v>
      </c>
      <c r="V32" s="4">
        <v>-47.071939200000003</v>
      </c>
      <c r="W32" s="4"/>
      <c r="X32" s="4"/>
      <c r="Y32" s="4">
        <v>-309.12610599999999</v>
      </c>
      <c r="Z32" s="4">
        <v>-340.03871660000004</v>
      </c>
      <c r="AA32" s="4">
        <v>-351.91877799999997</v>
      </c>
      <c r="AB32" s="4">
        <v>-387.11065580000002</v>
      </c>
    </row>
    <row r="33" spans="2:28" x14ac:dyDescent="0.35">
      <c r="B33" s="2" t="s">
        <v>4</v>
      </c>
      <c r="C33" s="4">
        <v>-163.109756</v>
      </c>
      <c r="D33" s="4">
        <v>-179.42073160000001</v>
      </c>
      <c r="E33" s="4">
        <v>-166.96186499999999</v>
      </c>
      <c r="F33" s="4">
        <v>-183.6580515</v>
      </c>
      <c r="G33" s="4">
        <v>-158.301716</v>
      </c>
      <c r="H33" s="4">
        <v>-174.1318876</v>
      </c>
      <c r="I33" s="4">
        <v>-152.03587400000001</v>
      </c>
      <c r="J33" s="4">
        <v>-150</v>
      </c>
      <c r="K33" s="4">
        <v>-159.43708599999999</v>
      </c>
      <c r="L33" s="4">
        <v>-200</v>
      </c>
      <c r="M33" s="4">
        <v>-168.883566</v>
      </c>
      <c r="N33" s="4">
        <v>-200</v>
      </c>
      <c r="O33" s="4">
        <v>-181.35529</v>
      </c>
      <c r="P33" s="4">
        <v>200</v>
      </c>
      <c r="Q33" s="4">
        <v>-190.05472700000001</v>
      </c>
      <c r="R33" s="4">
        <v>-200</v>
      </c>
      <c r="S33" s="4">
        <v>-189.695156</v>
      </c>
      <c r="T33" s="4">
        <v>-208.66467160000002</v>
      </c>
      <c r="U33" s="4">
        <v>-2226.1769519999998</v>
      </c>
      <c r="V33" s="4">
        <v>-27870.194278199997</v>
      </c>
      <c r="W33" s="4">
        <v>-7085.1282930000007</v>
      </c>
      <c r="X33" s="4">
        <v>-7793.6411223000005</v>
      </c>
      <c r="Y33" s="4">
        <v>-14949.127038000008</v>
      </c>
      <c r="Z33" s="4">
        <v>-31725.904658799998</v>
      </c>
      <c r="AA33" s="4">
        <v>-25790.267318999991</v>
      </c>
      <c r="AB33" s="4">
        <v>-68685.615401600022</v>
      </c>
    </row>
    <row r="34" spans="2:28" x14ac:dyDescent="0.35">
      <c r="B34" s="2" t="s">
        <v>37</v>
      </c>
      <c r="C34" s="4">
        <v>584.14634099999989</v>
      </c>
      <c r="D34" s="4">
        <v>642.56097509999995</v>
      </c>
      <c r="E34" s="4">
        <v>586.10157200000003</v>
      </c>
      <c r="F34" s="4">
        <v>1623.6797380648409</v>
      </c>
      <c r="G34" s="4">
        <v>594.48961099999997</v>
      </c>
      <c r="H34" s="4">
        <v>578.6594394</v>
      </c>
      <c r="I34" s="4">
        <v>1342.7443940000001</v>
      </c>
      <c r="J34" s="4">
        <v>1250</v>
      </c>
      <c r="K34" s="4">
        <v>607.06401699999992</v>
      </c>
      <c r="L34" s="4">
        <v>600</v>
      </c>
      <c r="M34" s="4">
        <v>598.74723700000004</v>
      </c>
      <c r="N34" s="4">
        <v>400</v>
      </c>
      <c r="O34" s="4">
        <v>2184.724588</v>
      </c>
      <c r="P34" s="4">
        <v>2200</v>
      </c>
      <c r="Q34" s="4">
        <v>596.26344599999993</v>
      </c>
      <c r="R34" s="4">
        <v>-1520</v>
      </c>
      <c r="S34" s="4">
        <v>1659.6210719999999</v>
      </c>
      <c r="T34" s="4">
        <v>-10576.737162207579</v>
      </c>
      <c r="U34" s="4">
        <v>14537.607883999997</v>
      </c>
      <c r="V34" s="4">
        <v>-16478.633573770236</v>
      </c>
      <c r="W34" s="4">
        <v>-7495.4589579999956</v>
      </c>
      <c r="X34" s="4">
        <v>-6038.0443416191365</v>
      </c>
      <c r="Y34" s="4">
        <v>4259.2535739999912</v>
      </c>
      <c r="Z34" s="4">
        <v>-10596.685985599997</v>
      </c>
      <c r="AA34" s="4">
        <v>20055.304778000002</v>
      </c>
      <c r="AB34" s="4">
        <v>-37915.200910632149</v>
      </c>
    </row>
  </sheetData>
  <pageMargins left="0" right="0" top="0" bottom="0" header="0" footer="0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FCCF2-F751-494A-A306-A4199B169AB4}">
  <dimension ref="B2:AB34"/>
  <sheetViews>
    <sheetView zoomScale="99" zoomScaleNormal="99" zoomScaleSheetLayoutView="100" workbookViewId="0">
      <selection activeCell="X19" sqref="X19"/>
    </sheetView>
  </sheetViews>
  <sheetFormatPr defaultRowHeight="14.5" x14ac:dyDescent="0.35"/>
  <cols>
    <col min="1" max="1" width="4.81640625" customWidth="1"/>
    <col min="2" max="2" width="26.36328125" bestFit="1" customWidth="1"/>
    <col min="3" max="3" width="15.453125" bestFit="1" customWidth="1"/>
    <col min="4" max="5" width="8.7265625" bestFit="1" customWidth="1"/>
    <col min="6" max="6" width="4.81640625" hidden="1" customWidth="1"/>
    <col min="7" max="7" width="7.81640625" hidden="1" customWidth="1"/>
    <col min="8" max="8" width="4.81640625" hidden="1" customWidth="1"/>
    <col min="9" max="9" width="7.81640625" hidden="1" customWidth="1"/>
    <col min="10" max="10" width="4.81640625" hidden="1" customWidth="1"/>
    <col min="11" max="11" width="7.81640625" hidden="1" customWidth="1"/>
    <col min="12" max="12" width="4.81640625" hidden="1" customWidth="1"/>
    <col min="13" max="13" width="7.81640625" hidden="1" customWidth="1"/>
    <col min="14" max="14" width="4.81640625" hidden="1" customWidth="1"/>
    <col min="15" max="15" width="7.81640625" hidden="1" customWidth="1"/>
    <col min="16" max="16" width="4.81640625" hidden="1" customWidth="1"/>
    <col min="17" max="17" width="10.7265625" hidden="1" customWidth="1"/>
    <col min="18" max="18" width="10.26953125" bestFit="1" customWidth="1"/>
    <col min="19" max="19" width="9" bestFit="1" customWidth="1"/>
    <col min="20" max="20" width="11.26953125" bestFit="1" customWidth="1"/>
    <col min="21" max="21" width="10.26953125" bestFit="1" customWidth="1"/>
    <col min="22" max="28" width="11.26953125" bestFit="1" customWidth="1"/>
    <col min="29" max="29" width="9" bestFit="1" customWidth="1"/>
    <col min="30" max="30" width="7.6328125" bestFit="1" customWidth="1"/>
    <col min="31" max="31" width="9" bestFit="1" customWidth="1"/>
    <col min="32" max="32" width="7.6328125" bestFit="1" customWidth="1"/>
    <col min="33" max="33" width="9.08984375" bestFit="1" customWidth="1"/>
    <col min="34" max="34" width="7.6328125" bestFit="1" customWidth="1"/>
    <col min="35" max="35" width="9" bestFit="1" customWidth="1"/>
    <col min="36" max="36" width="8.26953125" bestFit="1" customWidth="1"/>
    <col min="37" max="37" width="9.08984375" bestFit="1" customWidth="1"/>
    <col min="38" max="38" width="9.26953125" bestFit="1" customWidth="1"/>
    <col min="39" max="39" width="10.6328125" bestFit="1" customWidth="1"/>
    <col min="40" max="40" width="9.26953125" bestFit="1" customWidth="1"/>
    <col min="41" max="41" width="11.6328125" bestFit="1" customWidth="1"/>
    <col min="42" max="42" width="9.26953125" bestFit="1" customWidth="1"/>
    <col min="43" max="43" width="11.6328125" bestFit="1" customWidth="1"/>
    <col min="44" max="44" width="9.26953125" bestFit="1" customWidth="1"/>
    <col min="45" max="45" width="10.6328125" bestFit="1" customWidth="1"/>
    <col min="46" max="46" width="9.26953125" bestFit="1" customWidth="1"/>
    <col min="47" max="47" width="9.08984375" bestFit="1" customWidth="1"/>
    <col min="48" max="48" width="7.6328125" bestFit="1" customWidth="1"/>
    <col min="49" max="49" width="7.7265625" bestFit="1" customWidth="1"/>
    <col min="50" max="50" width="9.26953125" bestFit="1" customWidth="1"/>
    <col min="51" max="51" width="7.7265625" bestFit="1" customWidth="1"/>
    <col min="52" max="52" width="8.6328125" bestFit="1" customWidth="1"/>
    <col min="53" max="53" width="7.7265625" bestFit="1" customWidth="1"/>
    <col min="54" max="54" width="9.26953125" bestFit="1" customWidth="1"/>
    <col min="55" max="55" width="7.7265625" bestFit="1" customWidth="1"/>
    <col min="56" max="56" width="9.26953125" bestFit="1" customWidth="1"/>
    <col min="57" max="57" width="12.6328125" bestFit="1" customWidth="1"/>
    <col min="58" max="58" width="10.26953125" bestFit="1" customWidth="1"/>
  </cols>
  <sheetData>
    <row r="2" spans="2:28" x14ac:dyDescent="0.35">
      <c r="B2" t="s">
        <v>34</v>
      </c>
      <c r="C2" t="s" vm="1">
        <v>36</v>
      </c>
    </row>
    <row r="3" spans="2:28" x14ac:dyDescent="0.35">
      <c r="B3" t="s">
        <v>38</v>
      </c>
      <c r="C3" t="s" vm="2">
        <v>35</v>
      </c>
    </row>
    <row r="4" spans="2:28" x14ac:dyDescent="0.35">
      <c r="B4" t="s">
        <v>45</v>
      </c>
      <c r="C4" t="s" vm="69">
        <v>46</v>
      </c>
    </row>
    <row r="6" spans="2:28" x14ac:dyDescent="0.35">
      <c r="C6" t="s">
        <v>42</v>
      </c>
    </row>
    <row r="7" spans="2:28" x14ac:dyDescent="0.35">
      <c r="C7" t="str" vm="423">
        <f>CUBEMEMBER("pbiazure://api.powerbi.com a17e9212-e5a8-47c6-999a-02ae22de8953 Model","[Calendar].[Year_Month].&amp;[2021-01-01T00:00:00]")</f>
        <v>2021-01</v>
      </c>
      <c r="E7" t="str" vm="407">
        <f>CUBEMEMBER("pbiazure://api.powerbi.com a17e9212-e5a8-47c6-999a-02ae22de8953 Model","[Calendar].[Year_Month].&amp;[2021-02-01T00:00:00]")</f>
        <v>2021-02</v>
      </c>
      <c r="G7" t="str" vm="396">
        <f>CUBEMEMBER("pbiazure://api.powerbi.com a17e9212-e5a8-47c6-999a-02ae22de8953 Model","[Calendar].[Year_Month].&amp;[2021-03-01T00:00:00]")</f>
        <v>2021-03</v>
      </c>
      <c r="I7" t="str" vm="459">
        <f>CUBEMEMBER("pbiazure://api.powerbi.com a17e9212-e5a8-47c6-999a-02ae22de8953 Model","[Calendar].[Year_Month].&amp;[2021-04-01T00:00:00]")</f>
        <v>2021-04</v>
      </c>
      <c r="K7" t="str" vm="411">
        <f>CUBEMEMBER("pbiazure://api.powerbi.com a17e9212-e5a8-47c6-999a-02ae22de8953 Model","[Calendar].[Year_Month].&amp;[2021-05-01T00:00:00]")</f>
        <v>2021-05</v>
      </c>
      <c r="M7" t="str" vm="390">
        <f>CUBEMEMBER("pbiazure://api.powerbi.com a17e9212-e5a8-47c6-999a-02ae22de8953 Model","[Calendar].[Year_Month].&amp;[2021-06-01T00:00:00]")</f>
        <v>2021-06</v>
      </c>
      <c r="O7" t="str" vm="441">
        <f>CUBEMEMBER("pbiazure://api.powerbi.com a17e9212-e5a8-47c6-999a-02ae22de8953 Model","[Calendar].[Year_Month].&amp;[2021-07-01T00:00:00]")</f>
        <v>2021-07</v>
      </c>
      <c r="Q7" t="str" vm="74">
        <f>CUBEMEMBER("pbiazure://api.powerbi.com a17e9212-e5a8-47c6-999a-02ae22de8953 Model","[Calendar].[Year_Month].&amp;[2021-08-01T00:00:00]")</f>
        <v>2021-08</v>
      </c>
      <c r="S7" t="str" vm="73">
        <f>CUBEMEMBER("pbiazure://api.powerbi.com a17e9212-e5a8-47c6-999a-02ae22de8953 Model","[Calendar].[Year_Month].&amp;[2021-09-01T00:00:00]")</f>
        <v>2021-09</v>
      </c>
      <c r="U7" t="str" vm="72">
        <f>CUBEMEMBER("pbiazure://api.powerbi.com a17e9212-e5a8-47c6-999a-02ae22de8953 Model","[Calendar].[Year_Month].&amp;[2021-10-01T00:00:00]")</f>
        <v>2021-10</v>
      </c>
      <c r="W7" t="str" vm="71">
        <f>CUBEMEMBER("pbiazure://api.powerbi.com a17e9212-e5a8-47c6-999a-02ae22de8953 Model","[Calendar].[Year_Month].&amp;[2021-11-01T00:00:00]")</f>
        <v>2021-11</v>
      </c>
      <c r="Y7" t="str" vm="70">
        <f>CUBEMEMBER("pbiazure://api.powerbi.com a17e9212-e5a8-47c6-999a-02ae22de8953 Model","[Calendar].[Year_Month].&amp;[2021-12-01T00:00:00]")</f>
        <v>2021-12</v>
      </c>
      <c r="AA7" t="str" vm="32">
        <f>CUBEMEMBER("pbiazure://api.powerbi.com a17e9212-e5a8-47c6-999a-02ae22de8953 Model","[Measures].[ACT]","Total ACT")</f>
        <v>Total ACT</v>
      </c>
      <c r="AB7" t="str" vm="29">
        <f>CUBEMEMBER("pbiazure://api.powerbi.com a17e9212-e5a8-47c6-999a-02ae22de8953 Model","[Measures].[BUD]","Total BUD")</f>
        <v>Total BUD</v>
      </c>
    </row>
    <row r="8" spans="2:28" x14ac:dyDescent="0.35">
      <c r="B8" t="s">
        <v>0</v>
      </c>
      <c r="C8" t="str" vm="405">
        <f>CUBEMEMBER("pbiazure://api.powerbi.com a17e9212-e5a8-47c6-999a-02ae22de8953 Model",{"[Calendar].[Year_Month].&amp;[2021-01-01T00:00:00]","[Measures].[ACT]"})</f>
        <v>ACT</v>
      </c>
      <c r="D8" t="str" vm="402">
        <f>CUBEMEMBER("pbiazure://api.powerbi.com a17e9212-e5a8-47c6-999a-02ae22de8953 Model",{"[Calendar].[Year_Month].&amp;[2021-01-01T00:00:00]","[Measures].[BUD]"})</f>
        <v>BUD</v>
      </c>
      <c r="E8" t="str" vm="389">
        <f>CUBEMEMBER("pbiazure://api.powerbi.com a17e9212-e5a8-47c6-999a-02ae22de8953 Model",{"[Calendar].[Year_Month].&amp;[2021-02-01T00:00:00]","[Measures].[ACT]"})</f>
        <v>ACT</v>
      </c>
      <c r="F8" t="str" vm="393">
        <f>CUBEMEMBER("pbiazure://api.powerbi.com a17e9212-e5a8-47c6-999a-02ae22de8953 Model",{"[Calendar].[Year_Month].&amp;[2021-02-01T00:00:00]","[Measures].[BUD]"})</f>
        <v>BUD</v>
      </c>
      <c r="G8" t="str" vm="388">
        <f>CUBEMEMBER("pbiazure://api.powerbi.com a17e9212-e5a8-47c6-999a-02ae22de8953 Model",{"[Calendar].[Year_Month].&amp;[2021-03-01T00:00:00]","[Measures].[ACT]"})</f>
        <v>ACT</v>
      </c>
      <c r="H8" t="str" vm="387">
        <f>CUBEMEMBER("pbiazure://api.powerbi.com a17e9212-e5a8-47c6-999a-02ae22de8953 Model",{"[Calendar].[Year_Month].&amp;[2021-03-01T00:00:00]","[Measures].[BUD]"})</f>
        <v>BUD</v>
      </c>
      <c r="I8" t="str" vm="399">
        <f>CUBEMEMBER("pbiazure://api.powerbi.com a17e9212-e5a8-47c6-999a-02ae22de8953 Model",{"[Calendar].[Year_Month].&amp;[2021-04-01T00:00:00]","[Measures].[ACT]"})</f>
        <v>ACT</v>
      </c>
      <c r="J8" t="str" vm="398">
        <f>CUBEMEMBER("pbiazure://api.powerbi.com a17e9212-e5a8-47c6-999a-02ae22de8953 Model",{"[Calendar].[Year_Month].&amp;[2021-04-01T00:00:00]","[Measures].[BUD]"})</f>
        <v>BUD</v>
      </c>
      <c r="K8" t="str" vm="392">
        <f>CUBEMEMBER("pbiazure://api.powerbi.com a17e9212-e5a8-47c6-999a-02ae22de8953 Model",{"[Calendar].[Year_Month].&amp;[2021-05-01T00:00:00]","[Measures].[ACT]"})</f>
        <v>ACT</v>
      </c>
      <c r="L8" t="str" vm="397">
        <f>CUBEMEMBER("pbiazure://api.powerbi.com a17e9212-e5a8-47c6-999a-02ae22de8953 Model",{"[Calendar].[Year_Month].&amp;[2021-05-01T00:00:00]","[Measures].[BUD]"})</f>
        <v>BUD</v>
      </c>
      <c r="M8" t="str" vm="391">
        <f>CUBEMEMBER("pbiazure://api.powerbi.com a17e9212-e5a8-47c6-999a-02ae22de8953 Model",{"[Calendar].[Year_Month].&amp;[2021-06-01T00:00:00]","[Measures].[ACT]"})</f>
        <v>ACT</v>
      </c>
      <c r="N8" t="str" vm="437">
        <f>CUBEMEMBER("pbiazure://api.powerbi.com a17e9212-e5a8-47c6-999a-02ae22de8953 Model",{"[Calendar].[Year_Month].&amp;[2021-06-01T00:00:00]","[Measures].[BUD]"})</f>
        <v>BUD</v>
      </c>
      <c r="O8" t="str" vm="467">
        <f>CUBEMEMBER("pbiazure://api.powerbi.com a17e9212-e5a8-47c6-999a-02ae22de8953 Model",{"[Calendar].[Year_Month].&amp;[2021-07-01T00:00:00]","[Measures].[ACT]"})</f>
        <v>ACT</v>
      </c>
      <c r="P8" t="str" vm="458">
        <f>CUBEMEMBER("pbiazure://api.powerbi.com a17e9212-e5a8-47c6-999a-02ae22de8953 Model",{"[Calendar].[Year_Month].&amp;[2021-07-01T00:00:00]","[Measures].[BUD]"})</f>
        <v>BUD</v>
      </c>
      <c r="Q8" t="str" vm="247">
        <f>CUBEMEMBER("pbiazure://api.powerbi.com a17e9212-e5a8-47c6-999a-02ae22de8953 Model",{"[Calendar].[Year_Month].&amp;[2021-08-01T00:00:00]","[Measures].[ACT]"})</f>
        <v>ACT</v>
      </c>
      <c r="R8" t="str" vm="248">
        <f>CUBEMEMBER("pbiazure://api.powerbi.com a17e9212-e5a8-47c6-999a-02ae22de8953 Model",{"[Calendar].[Year_Month].&amp;[2021-08-01T00:00:00]","[Measures].[BUD]"})</f>
        <v>BUD</v>
      </c>
      <c r="S8" t="str" vm="249">
        <f>CUBEMEMBER("pbiazure://api.powerbi.com a17e9212-e5a8-47c6-999a-02ae22de8953 Model",{"[Calendar].[Year_Month].&amp;[2021-09-01T00:00:00]","[Measures].[ACT]"})</f>
        <v>ACT</v>
      </c>
      <c r="T8" t="str" vm="250">
        <f>CUBEMEMBER("pbiazure://api.powerbi.com a17e9212-e5a8-47c6-999a-02ae22de8953 Model",{"[Calendar].[Year_Month].&amp;[2021-09-01T00:00:00]","[Measures].[BUD]"})</f>
        <v>BUD</v>
      </c>
      <c r="U8" t="str" vm="251">
        <f>CUBEMEMBER("pbiazure://api.powerbi.com a17e9212-e5a8-47c6-999a-02ae22de8953 Model",{"[Calendar].[Year_Month].&amp;[2021-10-01T00:00:00]","[Measures].[ACT]"})</f>
        <v>ACT</v>
      </c>
      <c r="V8" t="str" vm="252">
        <f>CUBEMEMBER("pbiazure://api.powerbi.com a17e9212-e5a8-47c6-999a-02ae22de8953 Model",{"[Calendar].[Year_Month].&amp;[2021-10-01T00:00:00]","[Measures].[BUD]"})</f>
        <v>BUD</v>
      </c>
      <c r="W8" t="str" vm="253">
        <f>CUBEMEMBER("pbiazure://api.powerbi.com a17e9212-e5a8-47c6-999a-02ae22de8953 Model",{"[Calendar].[Year_Month].&amp;[2021-11-01T00:00:00]","[Measures].[ACT]"})</f>
        <v>ACT</v>
      </c>
      <c r="X8" t="str" vm="254">
        <f>CUBEMEMBER("pbiazure://api.powerbi.com a17e9212-e5a8-47c6-999a-02ae22de8953 Model",{"[Calendar].[Year_Month].&amp;[2021-11-01T00:00:00]","[Measures].[BUD]"})</f>
        <v>BUD</v>
      </c>
      <c r="Y8" t="str" vm="255">
        <f>CUBEMEMBER("pbiazure://api.powerbi.com a17e9212-e5a8-47c6-999a-02ae22de8953 Model",{"[Calendar].[Year_Month].&amp;[2021-12-01T00:00:00]","[Measures].[ACT]"})</f>
        <v>ACT</v>
      </c>
      <c r="Z8" t="str" vm="256">
        <f>CUBEMEMBER("pbiazure://api.powerbi.com a17e9212-e5a8-47c6-999a-02ae22de8953 Model",{"[Calendar].[Year_Month].&amp;[2021-12-01T00:00:00]","[Measures].[BUD]"})</f>
        <v>BUD</v>
      </c>
    </row>
    <row r="9" spans="2:28" x14ac:dyDescent="0.35">
      <c r="B9" s="2" t="str" vm="26">
        <f>CUBEMEMBER("pbiazure://api.powerbi.com a17e9212-e5a8-47c6-999a-02ae22de8953 Model","[Accounts].[Type].&amp;[Revenue]")</f>
        <v>Revenue</v>
      </c>
      <c r="C9" vm="797">
        <f>CUBEVALUE("pbiazure://api.powerbi.com a17e9212-e5a8-47c6-999a-02ae22de8953 Model",$C$2,$C$3,$C$4,$B9,C$8)</f>
        <v>747.25609699999995</v>
      </c>
      <c r="D9" vm="799">
        <f>CUBEVALUE("pbiazure://api.powerbi.com a17e9212-e5a8-47c6-999a-02ae22de8953 Model",$C$2,$C$3,$C$4,$B9,D$8)</f>
        <v>821.98170670000002</v>
      </c>
      <c r="E9" vm="800">
        <f>CUBEVALUE("pbiazure://api.powerbi.com a17e9212-e5a8-47c6-999a-02ae22de8953 Model",$C$2,$C$3,$C$4,$B9,E$8)</f>
        <v>753.06343700000002</v>
      </c>
      <c r="F9" vm="802">
        <f>CUBEVALUE("pbiazure://api.powerbi.com a17e9212-e5a8-47c6-999a-02ae22de8953 Model",$C$2,$C$3,$C$4,$B9,F$8)</f>
        <v>1807.3377895648409</v>
      </c>
      <c r="G9" vm="698">
        <f>CUBEVALUE("pbiazure://api.powerbi.com a17e9212-e5a8-47c6-999a-02ae22de8953 Model",$C$2,$C$3,$C$4,$B9,G$8)</f>
        <v>752.79132700000002</v>
      </c>
      <c r="H9" vm="641">
        <f>CUBEVALUE("pbiazure://api.powerbi.com a17e9212-e5a8-47c6-999a-02ae22de8953 Model",$C$2,$C$3,$C$4,$B9,H$8)</f>
        <v>752.79132700000002</v>
      </c>
      <c r="I9" vm="796">
        <f>CUBEVALUE("pbiazure://api.powerbi.com a17e9212-e5a8-47c6-999a-02ae22de8953 Model",$C$2,$C$3,$C$4,$B9,I$8)</f>
        <v>1494.780268</v>
      </c>
      <c r="J9" vm="798">
        <f>CUBEVALUE("pbiazure://api.powerbi.com a17e9212-e5a8-47c6-999a-02ae22de8953 Model",$C$2,$C$3,$C$4,$B9,J$8)</f>
        <v>1400</v>
      </c>
      <c r="K9" vm="709">
        <f>CUBEVALUE("pbiazure://api.powerbi.com a17e9212-e5a8-47c6-999a-02ae22de8953 Model",$C$2,$C$3,$C$4,$B9,K$8)</f>
        <v>766.50110299999994</v>
      </c>
      <c r="L9" vm="794">
        <f>CUBEVALUE("pbiazure://api.powerbi.com a17e9212-e5a8-47c6-999a-02ae22de8953 Model",$C$2,$C$3,$C$4,$B9,L$8)</f>
        <v>800</v>
      </c>
      <c r="M9" vm="740">
        <f>CUBEVALUE("pbiazure://api.powerbi.com a17e9212-e5a8-47c6-999a-02ae22de8953 Model",$C$2,$C$3,$C$4,$B9,M$8)</f>
        <v>767.63080300000001</v>
      </c>
      <c r="N9" vm="726">
        <f>CUBEVALUE("pbiazure://api.powerbi.com a17e9212-e5a8-47c6-999a-02ae22de8953 Model",$C$2,$C$3,$C$4,$B9,N$8)</f>
        <v>600</v>
      </c>
      <c r="O9" vm="801">
        <f>CUBEVALUE("pbiazure://api.powerbi.com a17e9212-e5a8-47c6-999a-02ae22de8953 Model",$C$2,$C$3,$C$4,$B9,O$8)</f>
        <v>2366.079878</v>
      </c>
      <c r="P9" vm="795">
        <f>CUBEVALUE("pbiazure://api.powerbi.com a17e9212-e5a8-47c6-999a-02ae22de8953 Model",$C$2,$C$3,$C$4,$B9,P$8)</f>
        <v>2000</v>
      </c>
      <c r="Q9" vm="257">
        <f>CUBEVALUE("pbiazure://api.powerbi.com a17e9212-e5a8-47c6-999a-02ae22de8953 Model",$C$2,$C$3,$C$4,$B9,Q$8)</f>
        <v>786.318173</v>
      </c>
      <c r="R9" vm="258">
        <f>CUBEVALUE("pbiazure://api.powerbi.com a17e9212-e5a8-47c6-999a-02ae22de8953 Model",$C$2,$C$3,$C$4,$B9,R$8)</f>
        <v>700</v>
      </c>
      <c r="S9" vm="259">
        <f>CUBEVALUE("pbiazure://api.powerbi.com a17e9212-e5a8-47c6-999a-02ae22de8953 Model",$C$2,$C$3,$C$4,$B9,S$8)</f>
        <v>1870.207592</v>
      </c>
      <c r="T9" vm="260">
        <f>CUBEVALUE("pbiazure://api.powerbi.com a17e9212-e5a8-47c6-999a-02ae22de8953 Model",$C$2,$C$3,$C$4,$B9,T$8)</f>
        <v>1870.207592</v>
      </c>
      <c r="U9" vm="261">
        <f>CUBEVALUE("pbiazure://api.powerbi.com a17e9212-e5a8-47c6-999a-02ae22de8953 Model",$C$2,$C$3,$C$4,$B9,U$8)</f>
        <v>24644.658199999998</v>
      </c>
      <c r="V9" vm="262">
        <f>CUBEVALUE("pbiazure://api.powerbi.com a17e9212-e5a8-47c6-999a-02ae22de8953 Model",$C$2,$C$3,$C$4,$B9,V$8)</f>
        <v>24644.658200000002</v>
      </c>
      <c r="W9" vm="263">
        <f>CUBEVALUE("pbiazure://api.powerbi.com a17e9212-e5a8-47c6-999a-02ae22de8953 Model",$C$2,$C$3,$C$4,$B9,W$8)</f>
        <v>16576.177817000003</v>
      </c>
      <c r="X9" vm="264">
        <f>CUBEVALUE("pbiazure://api.powerbi.com a17e9212-e5a8-47c6-999a-02ae22de8953 Model",$C$2,$C$3,$C$4,$B9,X$8)</f>
        <v>23511.865079900002</v>
      </c>
      <c r="Y9" vm="265">
        <f>CUBEVALUE("pbiazure://api.powerbi.com a17e9212-e5a8-47c6-999a-02ae22de8953 Model",$C$2,$C$3,$C$4,$B9,Y$8)</f>
        <v>24069.565666999999</v>
      </c>
      <c r="Z9" vm="266">
        <f>CUBEVALUE("pbiazure://api.powerbi.com a17e9212-e5a8-47c6-999a-02ae22de8953 Model",$C$2,$C$3,$C$4,$B9,Z$8)</f>
        <v>26476.522233700001</v>
      </c>
      <c r="AA9" vm="495">
        <f>CUBEVALUE("pbiazure://api.powerbi.com a17e9212-e5a8-47c6-999a-02ae22de8953 Model",$C$2,$C$3,$C$4,$B9,AA$7)</f>
        <v>75595.03036199999</v>
      </c>
      <c r="AB9" vm="496">
        <f>CUBEVALUE("pbiazure://api.powerbi.com a17e9212-e5a8-47c6-999a-02ae22de8953 Model",$C$2,$C$3,$C$4,$B9,AB$7)</f>
        <v>85385.363928864841</v>
      </c>
    </row>
    <row r="10" spans="2:28" x14ac:dyDescent="0.35">
      <c r="B10" s="3" t="str" vm="401">
        <f>CUBEMEMBER("pbiazure://api.powerbi.com a17e9212-e5a8-47c6-999a-02ae22de8953 Model",{"[Accounts].[Type].&amp;[Revenue]","[Accounts].[Name].&amp;[Intercompany Revenue]"})</f>
        <v>Intercompany Revenue</v>
      </c>
      <c r="C10" t="str" vm="781">
        <f>CUBEVALUE("pbiazure://api.powerbi.com a17e9212-e5a8-47c6-999a-02ae22de8953 Model",$C$2,$C$3,$C$4,$B10,C$8)</f>
        <v/>
      </c>
      <c r="D10" t="str" vm="784">
        <f>CUBEVALUE("pbiazure://api.powerbi.com a17e9212-e5a8-47c6-999a-02ae22de8953 Model",$C$2,$C$3,$C$4,$B10,D$8)</f>
        <v/>
      </c>
      <c r="E10" t="str" vm="713">
        <f>CUBEVALUE("pbiazure://api.powerbi.com a17e9212-e5a8-47c6-999a-02ae22de8953 Model",$C$2,$C$3,$C$4,$B10,E$8)</f>
        <v/>
      </c>
      <c r="F10" t="str" vm="666">
        <f>CUBEVALUE("pbiazure://api.powerbi.com a17e9212-e5a8-47c6-999a-02ae22de8953 Model",$C$2,$C$3,$C$4,$B10,F$8)</f>
        <v/>
      </c>
      <c r="G10" t="str" vm="694">
        <f>CUBEVALUE("pbiazure://api.powerbi.com a17e9212-e5a8-47c6-999a-02ae22de8953 Model",$C$2,$C$3,$C$4,$B10,G$8)</f>
        <v/>
      </c>
      <c r="H10" t="str" vm="780">
        <f>CUBEVALUE("pbiazure://api.powerbi.com a17e9212-e5a8-47c6-999a-02ae22de8953 Model",$C$2,$C$3,$C$4,$B10,H$8)</f>
        <v/>
      </c>
      <c r="I10" t="str" vm="619">
        <f>CUBEVALUE("pbiazure://api.powerbi.com a17e9212-e5a8-47c6-999a-02ae22de8953 Model",$C$2,$C$3,$C$4,$B10,I$8)</f>
        <v/>
      </c>
      <c r="J10" t="str" vm="707">
        <f>CUBEVALUE("pbiazure://api.powerbi.com a17e9212-e5a8-47c6-999a-02ae22de8953 Model",$C$2,$C$3,$C$4,$B10,J$8)</f>
        <v/>
      </c>
      <c r="K10" t="str" vm="739">
        <f>CUBEVALUE("pbiazure://api.powerbi.com a17e9212-e5a8-47c6-999a-02ae22de8953 Model",$C$2,$C$3,$C$4,$B10,K$8)</f>
        <v/>
      </c>
      <c r="L10" t="str" vm="725">
        <f>CUBEVALUE("pbiazure://api.powerbi.com a17e9212-e5a8-47c6-999a-02ae22de8953 Model",$C$2,$C$3,$C$4,$B10,L$8)</f>
        <v/>
      </c>
      <c r="M10" t="str" vm="600">
        <f>CUBEVALUE("pbiazure://api.powerbi.com a17e9212-e5a8-47c6-999a-02ae22de8953 Model",$C$2,$C$3,$C$4,$B10,M$8)</f>
        <v/>
      </c>
      <c r="N10" t="str" vm="705">
        <f>CUBEVALUE("pbiazure://api.powerbi.com a17e9212-e5a8-47c6-999a-02ae22de8953 Model",$C$2,$C$3,$C$4,$B10,N$8)</f>
        <v/>
      </c>
      <c r="O10" t="str" vm="741">
        <f>CUBEVALUE("pbiazure://api.powerbi.com a17e9212-e5a8-47c6-999a-02ae22de8953 Model",$C$2,$C$3,$C$4,$B10,O$8)</f>
        <v/>
      </c>
      <c r="P10" t="str" vm="778">
        <f>CUBEVALUE("pbiazure://api.powerbi.com a17e9212-e5a8-47c6-999a-02ae22de8953 Model",$C$2,$C$3,$C$4,$B10,P$8)</f>
        <v/>
      </c>
      <c r="Q10" t="str" vm="656">
        <f>CUBEVALUE("pbiazure://api.powerbi.com a17e9212-e5a8-47c6-999a-02ae22de8953 Model",$C$2,$C$3,$C$4,$B10,Q$8)</f>
        <v/>
      </c>
      <c r="R10" t="str" vm="596">
        <f>CUBEVALUE("pbiazure://api.powerbi.com a17e9212-e5a8-47c6-999a-02ae22de8953 Model",$C$2,$C$3,$C$4,$B10,R$8)</f>
        <v/>
      </c>
      <c r="S10" t="str" vm="609">
        <f>CUBEVALUE("pbiazure://api.powerbi.com a17e9212-e5a8-47c6-999a-02ae22de8953 Model",$C$2,$C$3,$C$4,$B10,S$8)</f>
        <v/>
      </c>
      <c r="T10" t="str" vm="677">
        <f>CUBEVALUE("pbiazure://api.powerbi.com a17e9212-e5a8-47c6-999a-02ae22de8953 Model",$C$2,$C$3,$C$4,$B10,T$8)</f>
        <v/>
      </c>
      <c r="U10" t="str" vm="652">
        <f>CUBEVALUE("pbiazure://api.powerbi.com a17e9212-e5a8-47c6-999a-02ae22de8953 Model",$C$2,$C$3,$C$4,$B10,U$8)</f>
        <v/>
      </c>
      <c r="V10" t="str" vm="629">
        <f>CUBEVALUE("pbiazure://api.powerbi.com a17e9212-e5a8-47c6-999a-02ae22de8953 Model",$C$2,$C$3,$C$4,$B10,V$8)</f>
        <v/>
      </c>
      <c r="W10" t="str" vm="607">
        <f>CUBEVALUE("pbiazure://api.powerbi.com a17e9212-e5a8-47c6-999a-02ae22de8953 Model",$C$2,$C$3,$C$4,$B10,W$8)</f>
        <v/>
      </c>
      <c r="X10" vm="777">
        <f>CUBEVALUE("pbiazure://api.powerbi.com a17e9212-e5a8-47c6-999a-02ae22de8953 Model",$C$2,$C$3,$C$4,$B10,X$8)</f>
        <v>6935.6872629000009</v>
      </c>
      <c r="Y10" t="str" vm="783">
        <f>CUBEVALUE("pbiazure://api.powerbi.com a17e9212-e5a8-47c6-999a-02ae22de8953 Model",$C$2,$C$3,$C$4,$B10,Y$8)</f>
        <v/>
      </c>
      <c r="Z10" t="str" vm="779">
        <f>CUBEVALUE("pbiazure://api.powerbi.com a17e9212-e5a8-47c6-999a-02ae22de8953 Model",$C$2,$C$3,$C$4,$B10,Z$8)</f>
        <v/>
      </c>
      <c r="AA10" t="str" vm="782">
        <f>CUBEVALUE("pbiazure://api.powerbi.com a17e9212-e5a8-47c6-999a-02ae22de8953 Model",$C$2,$C$3,$C$4,$B10,AA$7)</f>
        <v/>
      </c>
      <c r="AB10" vm="785">
        <f>CUBEVALUE("pbiazure://api.powerbi.com a17e9212-e5a8-47c6-999a-02ae22de8953 Model",$C$2,$C$3,$C$4,$B10,AB$7)</f>
        <v>6935.6872629000009</v>
      </c>
    </row>
    <row r="11" spans="2:28" x14ac:dyDescent="0.35">
      <c r="B11" s="3" t="str" vm="22">
        <f>CUBEMEMBER("pbiazure://api.powerbi.com a17e9212-e5a8-47c6-999a-02ae22de8953 Model",{"[Accounts].[Type].&amp;[Revenue]","[Accounts].[Name].&amp;[Sales]"})</f>
        <v>Sales</v>
      </c>
      <c r="C11" vm="746">
        <f>CUBEVALUE("pbiazure://api.powerbi.com a17e9212-e5a8-47c6-999a-02ae22de8953 Model",$C$2,$C$3,$C$4,$B11,C$8)</f>
        <v>747.25609699999995</v>
      </c>
      <c r="D11" vm="751">
        <f>CUBEVALUE("pbiazure://api.powerbi.com a17e9212-e5a8-47c6-999a-02ae22de8953 Model",$C$2,$C$3,$C$4,$B11,D$8)</f>
        <v>821.98170670000002</v>
      </c>
      <c r="E11" vm="640">
        <f>CUBEVALUE("pbiazure://api.powerbi.com a17e9212-e5a8-47c6-999a-02ae22de8953 Model",$C$2,$C$3,$C$4,$B11,E$8)</f>
        <v>753.06343700000002</v>
      </c>
      <c r="F11" vm="601">
        <f>CUBEVALUE("pbiazure://api.powerbi.com a17e9212-e5a8-47c6-999a-02ae22de8953 Model",$C$2,$C$3,$C$4,$B11,F$8)</f>
        <v>1807.3377895648409</v>
      </c>
      <c r="G11" vm="637">
        <f>CUBEVALUE("pbiazure://api.powerbi.com a17e9212-e5a8-47c6-999a-02ae22de8953 Model",$C$2,$C$3,$C$4,$B11,G$8)</f>
        <v>752.79132700000002</v>
      </c>
      <c r="H11" vm="585">
        <f>CUBEVALUE("pbiazure://api.powerbi.com a17e9212-e5a8-47c6-999a-02ae22de8953 Model",$C$2,$C$3,$C$4,$B11,H$8)</f>
        <v>752.79132700000002</v>
      </c>
      <c r="I11" vm="738">
        <f>CUBEVALUE("pbiazure://api.powerbi.com a17e9212-e5a8-47c6-999a-02ae22de8953 Model",$C$2,$C$3,$C$4,$B11,I$8)</f>
        <v>1494.780268</v>
      </c>
      <c r="J11" vm="724">
        <f>CUBEVALUE("pbiazure://api.powerbi.com a17e9212-e5a8-47c6-999a-02ae22de8953 Model",$C$2,$C$3,$C$4,$B11,J$8)</f>
        <v>1400</v>
      </c>
      <c r="K11" vm="584">
        <f>CUBEVALUE("pbiazure://api.powerbi.com a17e9212-e5a8-47c6-999a-02ae22de8953 Model",$C$2,$C$3,$C$4,$B11,K$8)</f>
        <v>766.50110299999994</v>
      </c>
      <c r="L11" vm="686">
        <f>CUBEVALUE("pbiazure://api.powerbi.com a17e9212-e5a8-47c6-999a-02ae22de8953 Model",$C$2,$C$3,$C$4,$B11,L$8)</f>
        <v>800</v>
      </c>
      <c r="M11" vm="616">
        <f>CUBEVALUE("pbiazure://api.powerbi.com a17e9212-e5a8-47c6-999a-02ae22de8953 Model",$C$2,$C$3,$C$4,$B11,M$8)</f>
        <v>767.63080300000001</v>
      </c>
      <c r="N11" vm="919">
        <f>CUBEVALUE("pbiazure://api.powerbi.com a17e9212-e5a8-47c6-999a-02ae22de8953 Model",$C$2,$C$3,$C$4,$B11,N$8)</f>
        <v>600</v>
      </c>
      <c r="O11" vm="954">
        <f>CUBEVALUE("pbiazure://api.powerbi.com a17e9212-e5a8-47c6-999a-02ae22de8953 Model",$C$2,$C$3,$C$4,$B11,O$8)</f>
        <v>2366.079878</v>
      </c>
      <c r="P11" vm="752">
        <f>CUBEVALUE("pbiazure://api.powerbi.com a17e9212-e5a8-47c6-999a-02ae22de8953 Model",$C$2,$C$3,$C$4,$B11,P$8)</f>
        <v>2000</v>
      </c>
      <c r="Q11" vm="429">
        <f>CUBEVALUE("pbiazure://api.powerbi.com a17e9212-e5a8-47c6-999a-02ae22de8953 Model",$C$2,$C$3,$C$4,$B11,Q$8)</f>
        <v>786.318173</v>
      </c>
      <c r="R11" vm="428">
        <f>CUBEVALUE("pbiazure://api.powerbi.com a17e9212-e5a8-47c6-999a-02ae22de8953 Model",$C$2,$C$3,$C$4,$B11,R$8)</f>
        <v>700</v>
      </c>
      <c r="S11" vm="416">
        <f>CUBEVALUE("pbiazure://api.powerbi.com a17e9212-e5a8-47c6-999a-02ae22de8953 Model",$C$2,$C$3,$C$4,$B11,S$8)</f>
        <v>1870.207592</v>
      </c>
      <c r="T11" vm="409">
        <f>CUBEVALUE("pbiazure://api.powerbi.com a17e9212-e5a8-47c6-999a-02ae22de8953 Model",$C$2,$C$3,$C$4,$B11,T$8)</f>
        <v>1870.207592</v>
      </c>
      <c r="U11" vm="404">
        <f>CUBEVALUE("pbiazure://api.powerbi.com a17e9212-e5a8-47c6-999a-02ae22de8953 Model",$C$2,$C$3,$C$4,$B11,U$8)</f>
        <v>24644.658199999998</v>
      </c>
      <c r="V11" vm="400">
        <f>CUBEVALUE("pbiazure://api.powerbi.com a17e9212-e5a8-47c6-999a-02ae22de8953 Model",$C$2,$C$3,$C$4,$B11,V$8)</f>
        <v>24644.658200000002</v>
      </c>
      <c r="W11" vm="476">
        <f>CUBEVALUE("pbiazure://api.powerbi.com a17e9212-e5a8-47c6-999a-02ae22de8953 Model",$C$2,$C$3,$C$4,$B11,W$8)</f>
        <v>16576.177817000003</v>
      </c>
      <c r="X11" vm="475">
        <f>CUBEVALUE("pbiazure://api.powerbi.com a17e9212-e5a8-47c6-999a-02ae22de8953 Model",$C$2,$C$3,$C$4,$B11,X$8)</f>
        <v>16576.177817</v>
      </c>
      <c r="Y11" vm="477">
        <f>CUBEVALUE("pbiazure://api.powerbi.com a17e9212-e5a8-47c6-999a-02ae22de8953 Model",$C$2,$C$3,$C$4,$B11,Y$8)</f>
        <v>24069.565666999999</v>
      </c>
      <c r="Z11" vm="478">
        <f>CUBEVALUE("pbiazure://api.powerbi.com a17e9212-e5a8-47c6-999a-02ae22de8953 Model",$C$2,$C$3,$C$4,$B11,Z$8)</f>
        <v>26476.522233700001</v>
      </c>
      <c r="AA11" vm="425">
        <f>CUBEVALUE("pbiazure://api.powerbi.com a17e9212-e5a8-47c6-999a-02ae22de8953 Model",$C$2,$C$3,$C$4,$B11,AA$7)</f>
        <v>75595.03036199999</v>
      </c>
      <c r="AB11" vm="487">
        <f>CUBEVALUE("pbiazure://api.powerbi.com a17e9212-e5a8-47c6-999a-02ae22de8953 Model",$C$2,$C$3,$C$4,$B11,AB$7)</f>
        <v>78449.676665964842</v>
      </c>
    </row>
    <row r="12" spans="2:28" x14ac:dyDescent="0.35">
      <c r="B12" s="2" t="str" vm="20">
        <f>CUBEMEMBER("pbiazure://api.powerbi.com a17e9212-e5a8-47c6-999a-02ae22de8953 Model","[Accounts].[Type].&amp;[DirectCosts]")</f>
        <v>DirectCosts</v>
      </c>
      <c r="C12" t="str" vm="664">
        <f>CUBEVALUE("pbiazure://api.powerbi.com a17e9212-e5a8-47c6-999a-02ae22de8953 Model",$C$2,$C$3,$C$4,$B12,C$8)</f>
        <v/>
      </c>
      <c r="D12" t="str" vm="638">
        <f>CUBEVALUE("pbiazure://api.powerbi.com a17e9212-e5a8-47c6-999a-02ae22de8953 Model",$C$2,$C$3,$C$4,$B12,D$8)</f>
        <v/>
      </c>
      <c r="E12" t="str" vm="691">
        <f>CUBEVALUE("pbiazure://api.powerbi.com a17e9212-e5a8-47c6-999a-02ae22de8953 Model",$C$2,$C$3,$C$4,$B12,E$8)</f>
        <v/>
      </c>
      <c r="F12" t="str" vm="635">
        <f>CUBEVALUE("pbiazure://api.powerbi.com a17e9212-e5a8-47c6-999a-02ae22de8953 Model",$C$2,$C$3,$C$4,$B12,F$8)</f>
        <v/>
      </c>
      <c r="G12" t="str" vm="737">
        <f>CUBEVALUE("pbiazure://api.powerbi.com a17e9212-e5a8-47c6-999a-02ae22de8953 Model",$C$2,$C$3,$C$4,$B12,G$8)</f>
        <v/>
      </c>
      <c r="H12" t="str" vm="723">
        <f>CUBEVALUE("pbiazure://api.powerbi.com a17e9212-e5a8-47c6-999a-02ae22de8953 Model",$C$2,$C$3,$C$4,$B12,H$8)</f>
        <v/>
      </c>
      <c r="I12" t="str" vm="749">
        <f>CUBEVALUE("pbiazure://api.powerbi.com a17e9212-e5a8-47c6-999a-02ae22de8953 Model",$C$2,$C$3,$C$4,$B12,I$8)</f>
        <v/>
      </c>
      <c r="J12" t="str" vm="750">
        <f>CUBEVALUE("pbiazure://api.powerbi.com a17e9212-e5a8-47c6-999a-02ae22de8953 Model",$C$2,$C$3,$C$4,$B12,J$8)</f>
        <v/>
      </c>
      <c r="K12" t="str" vm="704">
        <f>CUBEVALUE("pbiazure://api.powerbi.com a17e9212-e5a8-47c6-999a-02ae22de8953 Model",$C$2,$C$3,$C$4,$B12,K$8)</f>
        <v/>
      </c>
      <c r="L12" t="str" vm="684">
        <f>CUBEVALUE("pbiazure://api.powerbi.com a17e9212-e5a8-47c6-999a-02ae22de8953 Model",$C$2,$C$3,$C$4,$B12,L$8)</f>
        <v/>
      </c>
      <c r="M12" t="str" vm="613">
        <f>CUBEVALUE("pbiazure://api.powerbi.com a17e9212-e5a8-47c6-999a-02ae22de8953 Model",$C$2,$C$3,$C$4,$B12,M$8)</f>
        <v/>
      </c>
      <c r="N12" t="str" vm="914">
        <f>CUBEVALUE("pbiazure://api.powerbi.com a17e9212-e5a8-47c6-999a-02ae22de8953 Model",$C$2,$C$3,$C$4,$B12,N$8)</f>
        <v/>
      </c>
      <c r="O12" t="str" vm="949">
        <f>CUBEVALUE("pbiazure://api.powerbi.com a17e9212-e5a8-47c6-999a-02ae22de8953 Model",$C$2,$C$3,$C$4,$B12,O$8)</f>
        <v/>
      </c>
      <c r="P12" t="str" vm="937">
        <f>CUBEVALUE("pbiazure://api.powerbi.com a17e9212-e5a8-47c6-999a-02ae22de8953 Model",$C$2,$C$3,$C$4,$B12,P$8)</f>
        <v/>
      </c>
      <c r="Q12" t="str" vm="267">
        <f>CUBEVALUE("pbiazure://api.powerbi.com a17e9212-e5a8-47c6-999a-02ae22de8953 Model",$C$2,$C$3,$C$4,$B12,Q$8)</f>
        <v/>
      </c>
      <c r="R12" t="str" vm="268">
        <f>CUBEVALUE("pbiazure://api.powerbi.com a17e9212-e5a8-47c6-999a-02ae22de8953 Model",$C$2,$C$3,$C$4,$B12,R$8)</f>
        <v/>
      </c>
      <c r="S12" t="str" vm="269">
        <f>CUBEVALUE("pbiazure://api.powerbi.com a17e9212-e5a8-47c6-999a-02ae22de8953 Model",$C$2,$C$3,$C$4,$B12,S$8)</f>
        <v/>
      </c>
      <c r="T12" t="str" vm="270">
        <f>CUBEVALUE("pbiazure://api.powerbi.com a17e9212-e5a8-47c6-999a-02ae22de8953 Model",$C$2,$C$3,$C$4,$B12,T$8)</f>
        <v/>
      </c>
      <c r="U12" t="str" vm="271">
        <f>CUBEVALUE("pbiazure://api.powerbi.com a17e9212-e5a8-47c6-999a-02ae22de8953 Model",$C$2,$C$3,$C$4,$B12,U$8)</f>
        <v/>
      </c>
      <c r="V12" vm="272">
        <f>CUBEVALUE("pbiazure://api.powerbi.com a17e9212-e5a8-47c6-999a-02ae22de8953 Model",$C$2,$C$3,$C$4,$B12,V$8)</f>
        <v>-1527.2310751500004</v>
      </c>
      <c r="W12" t="str" vm="273">
        <f>CUBEVALUE("pbiazure://api.powerbi.com a17e9212-e5a8-47c6-999a-02ae22de8953 Model",$C$2,$C$3,$C$4,$B12,W$8)</f>
        <v/>
      </c>
      <c r="X12" vm="274">
        <f>CUBEVALUE("pbiazure://api.powerbi.com a17e9212-e5a8-47c6-999a-02ae22de8953 Model",$C$2,$C$3,$C$4,$B12,X$8)</f>
        <v>-855.24940208400017</v>
      </c>
      <c r="Y12" vm="275">
        <f>CUBEVALUE("pbiazure://api.powerbi.com a17e9212-e5a8-47c6-999a-02ae22de8953 Model",$C$2,$C$3,$C$4,$B12,Y$8)</f>
        <v>-3394.6751009999998</v>
      </c>
      <c r="Z12" vm="276">
        <f>CUBEVALUE("pbiazure://api.powerbi.com a17e9212-e5a8-47c6-999a-02ae22de8953 Model",$C$2,$C$3,$C$4,$B12,Z$8)</f>
        <v>-3734.1426111000001</v>
      </c>
      <c r="AA12" vm="438">
        <f>CUBEVALUE("pbiazure://api.powerbi.com a17e9212-e5a8-47c6-999a-02ae22de8953 Model",$C$2,$C$3,$C$4,$B12,AA$7)</f>
        <v>-3394.6751009999998</v>
      </c>
      <c r="AB12" vm="447">
        <f>CUBEVALUE("pbiazure://api.powerbi.com a17e9212-e5a8-47c6-999a-02ae22de8953 Model",$C$2,$C$3,$C$4,$B12,AB$7)</f>
        <v>-6116.6230883340013</v>
      </c>
    </row>
    <row r="13" spans="2:28" x14ac:dyDescent="0.35">
      <c r="B13" s="3" t="str" vm="18">
        <f>CUBEMEMBER("pbiazure://api.powerbi.com a17e9212-e5a8-47c6-999a-02ae22de8953 Model",{"[Accounts].[Type].&amp;[DirectCosts]","[Accounts].[Name].&amp;[Cost of Goods Sold]"})</f>
        <v>Cost of Goods Sold</v>
      </c>
      <c r="C13" t="str" vm="805">
        <f>CUBEVALUE("pbiazure://api.powerbi.com a17e9212-e5a8-47c6-999a-02ae22de8953 Model",$C$2,$C$3,$C$4,$B13,C$8)</f>
        <v/>
      </c>
      <c r="D13" t="str" vm="688">
        <f>CUBEVALUE("pbiazure://api.powerbi.com a17e9212-e5a8-47c6-999a-02ae22de8953 Model",$C$2,$C$3,$C$4,$B13,D$8)</f>
        <v/>
      </c>
      <c r="E13" t="str" vm="736">
        <f>CUBEVALUE("pbiazure://api.powerbi.com a17e9212-e5a8-47c6-999a-02ae22de8953 Model",$C$2,$C$3,$C$4,$B13,E$8)</f>
        <v/>
      </c>
      <c r="F13" t="str" vm="722">
        <f>CUBEVALUE("pbiazure://api.powerbi.com a17e9212-e5a8-47c6-999a-02ae22de8953 Model",$C$2,$C$3,$C$4,$B13,F$8)</f>
        <v/>
      </c>
      <c r="G13" t="str" vm="659">
        <f>CUBEVALUE("pbiazure://api.powerbi.com a17e9212-e5a8-47c6-999a-02ae22de8953 Model",$C$2,$C$3,$C$4,$B13,G$8)</f>
        <v/>
      </c>
      <c r="H13" t="str" vm="581">
        <f>CUBEVALUE("pbiazure://api.powerbi.com a17e9212-e5a8-47c6-999a-02ae22de8953 Model",$C$2,$C$3,$C$4,$B13,H$8)</f>
        <v/>
      </c>
      <c r="I13" t="str" vm="770">
        <f>CUBEVALUE("pbiazure://api.powerbi.com a17e9212-e5a8-47c6-999a-02ae22de8953 Model",$C$2,$C$3,$C$4,$B13,I$8)</f>
        <v/>
      </c>
      <c r="J13" t="str" vm="615">
        <f>CUBEVALUE("pbiazure://api.powerbi.com a17e9212-e5a8-47c6-999a-02ae22de8953 Model",$C$2,$C$3,$C$4,$B13,J$8)</f>
        <v/>
      </c>
      <c r="K13" t="str" vm="682">
        <f>CUBEVALUE("pbiazure://api.powerbi.com a17e9212-e5a8-47c6-999a-02ae22de8953 Model",$C$2,$C$3,$C$4,$B13,K$8)</f>
        <v/>
      </c>
      <c r="L13" t="str" vm="611">
        <f>CUBEVALUE("pbiazure://api.powerbi.com a17e9212-e5a8-47c6-999a-02ae22de8953 Model",$C$2,$C$3,$C$4,$B13,L$8)</f>
        <v/>
      </c>
      <c r="M13" t="str" vm="594">
        <f>CUBEVALUE("pbiazure://api.powerbi.com a17e9212-e5a8-47c6-999a-02ae22de8953 Model",$C$2,$C$3,$C$4,$B13,M$8)</f>
        <v/>
      </c>
      <c r="N13" t="str" vm="913">
        <f>CUBEVALUE("pbiazure://api.powerbi.com a17e9212-e5a8-47c6-999a-02ae22de8953 Model",$C$2,$C$3,$C$4,$B13,N$8)</f>
        <v/>
      </c>
      <c r="O13" t="str" vm="950">
        <f>CUBEVALUE("pbiazure://api.powerbi.com a17e9212-e5a8-47c6-999a-02ae22de8953 Model",$C$2,$C$3,$C$4,$B13,O$8)</f>
        <v/>
      </c>
      <c r="P13" t="str" vm="942">
        <f>CUBEVALUE("pbiazure://api.powerbi.com a17e9212-e5a8-47c6-999a-02ae22de8953 Model",$C$2,$C$3,$C$4,$B13,P$8)</f>
        <v/>
      </c>
      <c r="Q13" t="str" vm="277">
        <f>CUBEVALUE("pbiazure://api.powerbi.com a17e9212-e5a8-47c6-999a-02ae22de8953 Model",$C$2,$C$3,$C$4,$B13,Q$8)</f>
        <v/>
      </c>
      <c r="R13" t="str" vm="278">
        <f>CUBEVALUE("pbiazure://api.powerbi.com a17e9212-e5a8-47c6-999a-02ae22de8953 Model",$C$2,$C$3,$C$4,$B13,R$8)</f>
        <v/>
      </c>
      <c r="S13" t="str" vm="279">
        <f>CUBEVALUE("pbiazure://api.powerbi.com a17e9212-e5a8-47c6-999a-02ae22de8953 Model",$C$2,$C$3,$C$4,$B13,S$8)</f>
        <v/>
      </c>
      <c r="T13" t="str" vm="280">
        <f>CUBEVALUE("pbiazure://api.powerbi.com a17e9212-e5a8-47c6-999a-02ae22de8953 Model",$C$2,$C$3,$C$4,$B13,T$8)</f>
        <v/>
      </c>
      <c r="U13" t="str" vm="281">
        <f>CUBEVALUE("pbiazure://api.powerbi.com a17e9212-e5a8-47c6-999a-02ae22de8953 Model",$C$2,$C$3,$C$4,$B13,U$8)</f>
        <v/>
      </c>
      <c r="V13" vm="282">
        <f>CUBEVALUE("pbiazure://api.powerbi.com a17e9212-e5a8-47c6-999a-02ae22de8953 Model",$C$2,$C$3,$C$4,$B13,V$8)</f>
        <v>-1527.2310751500004</v>
      </c>
      <c r="W13" t="str" vm="283">
        <f>CUBEVALUE("pbiazure://api.powerbi.com a17e9212-e5a8-47c6-999a-02ae22de8953 Model",$C$2,$C$3,$C$4,$B13,W$8)</f>
        <v/>
      </c>
      <c r="X13" vm="284">
        <f>CUBEVALUE("pbiazure://api.powerbi.com a17e9212-e5a8-47c6-999a-02ae22de8953 Model",$C$2,$C$3,$C$4,$B13,X$8)</f>
        <v>-855.24940208400017</v>
      </c>
      <c r="Y13" t="str" vm="285">
        <f>CUBEVALUE("pbiazure://api.powerbi.com a17e9212-e5a8-47c6-999a-02ae22de8953 Model",$C$2,$C$3,$C$4,$B13,Y$8)</f>
        <v/>
      </c>
      <c r="Z13" t="str" vm="286">
        <f>CUBEVALUE("pbiazure://api.powerbi.com a17e9212-e5a8-47c6-999a-02ae22de8953 Model",$C$2,$C$3,$C$4,$B13,Z$8)</f>
        <v/>
      </c>
      <c r="AA13" t="str" vm="446">
        <f>CUBEVALUE("pbiazure://api.powerbi.com a17e9212-e5a8-47c6-999a-02ae22de8953 Model",$C$2,$C$3,$C$4,$B13,AA$7)</f>
        <v/>
      </c>
      <c r="AB13" vm="469">
        <f>CUBEVALUE("pbiazure://api.powerbi.com a17e9212-e5a8-47c6-999a-02ae22de8953 Model",$C$2,$C$3,$C$4,$B13,AB$7)</f>
        <v>-2382.4804772340003</v>
      </c>
    </row>
    <row r="14" spans="2:28" x14ac:dyDescent="0.35">
      <c r="B14" s="3" t="str" vm="16">
        <f>CUBEMEMBER("pbiazure://api.powerbi.com a17e9212-e5a8-47c6-999a-02ae22de8953 Model",{"[Accounts].[Type].&amp;[DirectCosts]","[Accounts].[Name].&amp;[Purchases]"})</f>
        <v>Purchases</v>
      </c>
      <c r="C14" t="str" vm="735">
        <f>CUBEVALUE("pbiazure://api.powerbi.com a17e9212-e5a8-47c6-999a-02ae22de8953 Model",$C$2,$C$3,$C$4,$B14,C$8)</f>
        <v/>
      </c>
      <c r="D14" t="str" vm="721">
        <f>CUBEVALUE("pbiazure://api.powerbi.com a17e9212-e5a8-47c6-999a-02ae22de8953 Model",$C$2,$C$3,$C$4,$B14,D$8)</f>
        <v/>
      </c>
      <c r="E14" t="str" vm="634">
        <f>CUBEVALUE("pbiazure://api.powerbi.com a17e9212-e5a8-47c6-999a-02ae22de8953 Model",$C$2,$C$3,$C$4,$B14,E$8)</f>
        <v/>
      </c>
      <c r="F14" t="str" vm="617">
        <f>CUBEVALUE("pbiazure://api.powerbi.com a17e9212-e5a8-47c6-999a-02ae22de8953 Model",$C$2,$C$3,$C$4,$B14,F$8)</f>
        <v/>
      </c>
      <c r="G14" t="str" vm="599">
        <f>CUBEVALUE("pbiazure://api.powerbi.com a17e9212-e5a8-47c6-999a-02ae22de8953 Model",$C$2,$C$3,$C$4,$B14,G$8)</f>
        <v/>
      </c>
      <c r="H14" t="str" vm="631">
        <f>CUBEVALUE("pbiazure://api.powerbi.com a17e9212-e5a8-47c6-999a-02ae22de8953 Model",$C$2,$C$3,$C$4,$B14,H$8)</f>
        <v/>
      </c>
      <c r="I14" t="str" vm="598">
        <f>CUBEVALUE("pbiazure://api.powerbi.com a17e9212-e5a8-47c6-999a-02ae22de8953 Model",$C$2,$C$3,$C$4,$B14,I$8)</f>
        <v/>
      </c>
      <c r="J14" t="str" vm="681">
        <f>CUBEVALUE("pbiazure://api.powerbi.com a17e9212-e5a8-47c6-999a-02ae22de8953 Model",$C$2,$C$3,$C$4,$B14,J$8)</f>
        <v/>
      </c>
      <c r="K14" t="str" vm="608">
        <f>CUBEVALUE("pbiazure://api.powerbi.com a17e9212-e5a8-47c6-999a-02ae22de8953 Model",$C$2,$C$3,$C$4,$B14,K$8)</f>
        <v/>
      </c>
      <c r="L14" t="str" vm="676">
        <f>CUBEVALUE("pbiazure://api.powerbi.com a17e9212-e5a8-47c6-999a-02ae22de8953 Model",$C$2,$C$3,$C$4,$B14,L$8)</f>
        <v/>
      </c>
      <c r="M14" t="str" vm="651">
        <f>CUBEVALUE("pbiazure://api.powerbi.com a17e9212-e5a8-47c6-999a-02ae22de8953 Model",$C$2,$C$3,$C$4,$B14,M$8)</f>
        <v/>
      </c>
      <c r="N14" t="str" vm="915">
        <f>CUBEVALUE("pbiazure://api.powerbi.com a17e9212-e5a8-47c6-999a-02ae22de8953 Model",$C$2,$C$3,$C$4,$B14,N$8)</f>
        <v/>
      </c>
      <c r="O14" t="str" vm="952">
        <f>CUBEVALUE("pbiazure://api.powerbi.com a17e9212-e5a8-47c6-999a-02ae22de8953 Model",$C$2,$C$3,$C$4,$B14,O$8)</f>
        <v/>
      </c>
      <c r="P14" t="str" vm="943">
        <f>CUBEVALUE("pbiazure://api.powerbi.com a17e9212-e5a8-47c6-999a-02ae22de8953 Model",$C$2,$C$3,$C$4,$B14,P$8)</f>
        <v/>
      </c>
      <c r="Q14" t="str" vm="498">
        <f>CUBEVALUE("pbiazure://api.powerbi.com a17e9212-e5a8-47c6-999a-02ae22de8953 Model",$C$2,$C$3,$C$4,$B14,Q$8)</f>
        <v/>
      </c>
      <c r="R14" t="str" vm="518">
        <f>CUBEVALUE("pbiazure://api.powerbi.com a17e9212-e5a8-47c6-999a-02ae22de8953 Model",$C$2,$C$3,$C$4,$B14,R$8)</f>
        <v/>
      </c>
      <c r="S14" t="str" vm="492">
        <f>CUBEVALUE("pbiazure://api.powerbi.com a17e9212-e5a8-47c6-999a-02ae22de8953 Model",$C$2,$C$3,$C$4,$B14,S$8)</f>
        <v/>
      </c>
      <c r="T14" t="str" vm="491">
        <f>CUBEVALUE("pbiazure://api.powerbi.com a17e9212-e5a8-47c6-999a-02ae22de8953 Model",$C$2,$C$3,$C$4,$B14,T$8)</f>
        <v/>
      </c>
      <c r="U14" t="str" vm="450">
        <f>CUBEVALUE("pbiazure://api.powerbi.com a17e9212-e5a8-47c6-999a-02ae22de8953 Model",$C$2,$C$3,$C$4,$B14,U$8)</f>
        <v/>
      </c>
      <c r="V14" t="str" vm="483">
        <f>CUBEVALUE("pbiazure://api.powerbi.com a17e9212-e5a8-47c6-999a-02ae22de8953 Model",$C$2,$C$3,$C$4,$B14,V$8)</f>
        <v/>
      </c>
      <c r="W14" t="str" vm="489">
        <f>CUBEVALUE("pbiazure://api.powerbi.com a17e9212-e5a8-47c6-999a-02ae22de8953 Model",$C$2,$C$3,$C$4,$B14,W$8)</f>
        <v/>
      </c>
      <c r="X14" t="str" vm="471">
        <f>CUBEVALUE("pbiazure://api.powerbi.com a17e9212-e5a8-47c6-999a-02ae22de8953 Model",$C$2,$C$3,$C$4,$B14,X$8)</f>
        <v/>
      </c>
      <c r="Y14" vm="529">
        <f>CUBEVALUE("pbiazure://api.powerbi.com a17e9212-e5a8-47c6-999a-02ae22de8953 Model",$C$2,$C$3,$C$4,$B14,Y$8)</f>
        <v>-3394.6751009999998</v>
      </c>
      <c r="Z14" vm="497">
        <f>CUBEVALUE("pbiazure://api.powerbi.com a17e9212-e5a8-47c6-999a-02ae22de8953 Model",$C$2,$C$3,$C$4,$B14,Z$8)</f>
        <v>-3734.1426111000001</v>
      </c>
      <c r="AA14" vm="466">
        <f>CUBEVALUE("pbiazure://api.powerbi.com a17e9212-e5a8-47c6-999a-02ae22de8953 Model",$C$2,$C$3,$C$4,$B14,AA$7)</f>
        <v>-3394.6751009999998</v>
      </c>
      <c r="AB14" vm="457">
        <f>CUBEVALUE("pbiazure://api.powerbi.com a17e9212-e5a8-47c6-999a-02ae22de8953 Model",$C$2,$C$3,$C$4,$B14,AB$7)</f>
        <v>-3734.1426111000001</v>
      </c>
    </row>
    <row r="15" spans="2:28" x14ac:dyDescent="0.35">
      <c r="B15" s="2" t="str" vm="14">
        <f>CUBEMEMBER("pbiazure://api.powerbi.com a17e9212-e5a8-47c6-999a-02ae22de8953 Model","[Accounts].[Type].&amp;[Expense]")</f>
        <v>Expense</v>
      </c>
      <c r="C15" t="str" vm="824">
        <f>CUBEVALUE("pbiazure://api.powerbi.com a17e9212-e5a8-47c6-999a-02ae22de8953 Model",$C$2,$C$3,$C$4,$B15,C$8)</f>
        <v/>
      </c>
      <c r="D15" t="str" vm="633">
        <f>CUBEVALUE("pbiazure://api.powerbi.com a17e9212-e5a8-47c6-999a-02ae22de8953 Model",$C$2,$C$3,$C$4,$B15,D$8)</f>
        <v/>
      </c>
      <c r="E15" t="str" vm="830">
        <f>CUBEVALUE("pbiazure://api.powerbi.com a17e9212-e5a8-47c6-999a-02ae22de8953 Model",$C$2,$C$3,$C$4,$B15,E$8)</f>
        <v/>
      </c>
      <c r="F15" t="str" vm="700">
        <f>CUBEVALUE("pbiazure://api.powerbi.com a17e9212-e5a8-47c6-999a-02ae22de8953 Model",$C$2,$C$3,$C$4,$B15,F$8)</f>
        <v/>
      </c>
      <c r="G15" t="str" vm="827">
        <f>CUBEVALUE("pbiazure://api.powerbi.com a17e9212-e5a8-47c6-999a-02ae22de8953 Model",$C$2,$C$3,$C$4,$B15,G$8)</f>
        <v/>
      </c>
      <c r="H15" t="str" vm="828">
        <f>CUBEVALUE("pbiazure://api.powerbi.com a17e9212-e5a8-47c6-999a-02ae22de8953 Model",$C$2,$C$3,$C$4,$B15,H$8)</f>
        <v/>
      </c>
      <c r="I15" t="str" vm="655">
        <f>CUBEVALUE("pbiazure://api.powerbi.com a17e9212-e5a8-47c6-999a-02ae22de8953 Model",$C$2,$C$3,$C$4,$B15,I$8)</f>
        <v/>
      </c>
      <c r="J15" t="str" vm="675">
        <f>CUBEVALUE("pbiazure://api.powerbi.com a17e9212-e5a8-47c6-999a-02ae22de8953 Model",$C$2,$C$3,$C$4,$B15,J$8)</f>
        <v/>
      </c>
      <c r="K15" t="str" vm="650">
        <f>CUBEVALUE("pbiazure://api.powerbi.com a17e9212-e5a8-47c6-999a-02ae22de8953 Model",$C$2,$C$3,$C$4,$B15,K$8)</f>
        <v/>
      </c>
      <c r="L15" t="str" vm="628">
        <f>CUBEVALUE("pbiazure://api.powerbi.com a17e9212-e5a8-47c6-999a-02ae22de8953 Model",$C$2,$C$3,$C$4,$B15,L$8)</f>
        <v/>
      </c>
      <c r="M15" t="str" vm="825">
        <f>CUBEVALUE("pbiazure://api.powerbi.com a17e9212-e5a8-47c6-999a-02ae22de8953 Model",$C$2,$C$3,$C$4,$B15,M$8)</f>
        <v/>
      </c>
      <c r="N15" t="str" vm="826">
        <f>CUBEVALUE("pbiazure://api.powerbi.com a17e9212-e5a8-47c6-999a-02ae22de8953 Model",$C$2,$C$3,$C$4,$B15,N$8)</f>
        <v/>
      </c>
      <c r="O15" t="str" vm="831">
        <f>CUBEVALUE("pbiazure://api.powerbi.com a17e9212-e5a8-47c6-999a-02ae22de8953 Model",$C$2,$C$3,$C$4,$B15,O$8)</f>
        <v/>
      </c>
      <c r="P15" t="str" vm="829">
        <f>CUBEVALUE("pbiazure://api.powerbi.com a17e9212-e5a8-47c6-999a-02ae22de8953 Model",$C$2,$C$3,$C$4,$B15,P$8)</f>
        <v/>
      </c>
      <c r="Q15" t="str" vm="287">
        <f>CUBEVALUE("pbiazure://api.powerbi.com a17e9212-e5a8-47c6-999a-02ae22de8953 Model",$C$2,$C$3,$C$4,$B15,Q$8)</f>
        <v/>
      </c>
      <c r="R15" vm="288">
        <f>CUBEVALUE("pbiazure://api.powerbi.com a17e9212-e5a8-47c6-999a-02ae22de8953 Model",$C$2,$C$3,$C$4,$B15,R$8)</f>
        <v>-2020</v>
      </c>
      <c r="S15" vm="289">
        <f>CUBEVALUE("pbiazure://api.powerbi.com a17e9212-e5a8-47c6-999a-02ae22de8953 Model",$C$2,$C$3,$C$4,$B15,S$8)</f>
        <v>-20.891363999999999</v>
      </c>
      <c r="T15" vm="290">
        <f>CUBEVALUE("pbiazure://api.powerbi.com a17e9212-e5a8-47c6-999a-02ae22de8953 Model",$C$2,$C$3,$C$4,$B15,T$8)</f>
        <v>-12238.28008260758</v>
      </c>
      <c r="U15" vm="291">
        <f>CUBEVALUE("pbiazure://api.powerbi.com a17e9212-e5a8-47c6-999a-02ae22de8953 Model",$C$2,$C$3,$C$4,$B15,U$8)</f>
        <v>-7880.873364</v>
      </c>
      <c r="V15" vm="292">
        <f>CUBEVALUE("pbiazure://api.powerbi.com a17e9212-e5a8-47c6-999a-02ae22de8953 Model",$C$2,$C$3,$C$4,$B15,V$8)</f>
        <v>-11725.86642042024</v>
      </c>
      <c r="W15" vm="293">
        <f>CUBEVALUE("pbiazure://api.powerbi.com a17e9212-e5a8-47c6-999a-02ae22de8953 Model",$C$2,$C$3,$C$4,$B15,W$8)</f>
        <v>-16986.508481999997</v>
      </c>
      <c r="X15" vm="294">
        <f>CUBEVALUE("pbiazure://api.powerbi.com a17e9212-e5a8-47c6-999a-02ae22de8953 Model",$C$2,$C$3,$C$4,$B15,X$8)</f>
        <v>-20901.018897135138</v>
      </c>
      <c r="Y15" vm="295">
        <f>CUBEVALUE("pbiazure://api.powerbi.com a17e9212-e5a8-47c6-999a-02ae22de8953 Model",$C$2,$C$3,$C$4,$B15,Y$8)</f>
        <v>-1466.5099540000001</v>
      </c>
      <c r="Z15" vm="296">
        <f>CUBEVALUE("pbiazure://api.powerbi.com a17e9212-e5a8-47c6-999a-02ae22de8953 Model",$C$2,$C$3,$C$4,$B15,Z$8)</f>
        <v>-1613.1609493999999</v>
      </c>
      <c r="AA15" vm="508">
        <f>CUBEVALUE("pbiazure://api.powerbi.com a17e9212-e5a8-47c6-999a-02ae22de8953 Model",$C$2,$C$3,$C$4,$B15,AA$7)</f>
        <v>-26354.783163999997</v>
      </c>
      <c r="AB15" vm="421">
        <f>CUBEVALUE("pbiazure://api.powerbi.com a17e9212-e5a8-47c6-999a-02ae22de8953 Model",$C$2,$C$3,$C$4,$B15,AB$7)</f>
        <v>-48498.326349562965</v>
      </c>
    </row>
    <row r="16" spans="2:28" x14ac:dyDescent="0.35">
      <c r="B16" s="3" t="str" vm="12">
        <f>CUBEMEMBER("pbiazure://api.powerbi.com a17e9212-e5a8-47c6-999a-02ae22de8953 Model",{"[Accounts].[Type].&amp;[Expense]","[Accounts].[Name].&amp;[Advertising]"})</f>
        <v>Advertising</v>
      </c>
      <c r="C16" t="str" vm="658">
        <f>CUBEVALUE("pbiazure://api.powerbi.com a17e9212-e5a8-47c6-999a-02ae22de8953 Model",$C$2,$C$3,$C$4,$B16,C$8)</f>
        <v/>
      </c>
      <c r="D16" t="str" vm="820">
        <f>CUBEVALUE("pbiazure://api.powerbi.com a17e9212-e5a8-47c6-999a-02ae22de8953 Model",$C$2,$C$3,$C$4,$B16,D$8)</f>
        <v/>
      </c>
      <c r="E16" t="str" vm="821">
        <f>CUBEVALUE("pbiazure://api.powerbi.com a17e9212-e5a8-47c6-999a-02ae22de8953 Model",$C$2,$C$3,$C$4,$B16,E$8)</f>
        <v/>
      </c>
      <c r="F16" t="str" vm="699">
        <f>CUBEVALUE("pbiazure://api.powerbi.com a17e9212-e5a8-47c6-999a-02ae22de8953 Model",$C$2,$C$3,$C$4,$B16,F$8)</f>
        <v/>
      </c>
      <c r="G16" t="str" vm="679">
        <f>CUBEVALUE("pbiazure://api.powerbi.com a17e9212-e5a8-47c6-999a-02ae22de8953 Model",$C$2,$C$3,$C$4,$B16,G$8)</f>
        <v/>
      </c>
      <c r="H16" t="str" vm="674">
        <f>CUBEVALUE("pbiazure://api.powerbi.com a17e9212-e5a8-47c6-999a-02ae22de8953 Model",$C$2,$C$3,$C$4,$B16,H$8)</f>
        <v/>
      </c>
      <c r="I16" t="str" vm="649">
        <f>CUBEVALUE("pbiazure://api.powerbi.com a17e9212-e5a8-47c6-999a-02ae22de8953 Model",$C$2,$C$3,$C$4,$B16,I$8)</f>
        <v/>
      </c>
      <c r="J16" t="str" vm="627">
        <f>CUBEVALUE("pbiazure://api.powerbi.com a17e9212-e5a8-47c6-999a-02ae22de8953 Model",$C$2,$C$3,$C$4,$B16,J$8)</f>
        <v/>
      </c>
      <c r="K16" t="str" vm="816">
        <f>CUBEVALUE("pbiazure://api.powerbi.com a17e9212-e5a8-47c6-999a-02ae22de8953 Model",$C$2,$C$3,$C$4,$B16,K$8)</f>
        <v/>
      </c>
      <c r="L16" t="str" vm="817">
        <f>CUBEVALUE("pbiazure://api.powerbi.com a17e9212-e5a8-47c6-999a-02ae22de8953 Model",$C$2,$C$3,$C$4,$B16,L$8)</f>
        <v/>
      </c>
      <c r="M16" t="str" vm="818">
        <f>CUBEVALUE("pbiazure://api.powerbi.com a17e9212-e5a8-47c6-999a-02ae22de8953 Model",$C$2,$C$3,$C$4,$B16,M$8)</f>
        <v/>
      </c>
      <c r="N16" t="str" vm="819">
        <f>CUBEVALUE("pbiazure://api.powerbi.com a17e9212-e5a8-47c6-999a-02ae22de8953 Model",$C$2,$C$3,$C$4,$B16,N$8)</f>
        <v/>
      </c>
      <c r="O16" t="str" vm="822">
        <f>CUBEVALUE("pbiazure://api.powerbi.com a17e9212-e5a8-47c6-999a-02ae22de8953 Model",$C$2,$C$3,$C$4,$B16,O$8)</f>
        <v/>
      </c>
      <c r="P16" t="str" vm="823">
        <f>CUBEVALUE("pbiazure://api.powerbi.com a17e9212-e5a8-47c6-999a-02ae22de8953 Model",$C$2,$C$3,$C$4,$B16,P$8)</f>
        <v/>
      </c>
      <c r="Q16" t="str" vm="414">
        <f>CUBEVALUE("pbiazure://api.powerbi.com a17e9212-e5a8-47c6-999a-02ae22de8953 Model",$C$2,$C$3,$C$4,$B16,Q$8)</f>
        <v/>
      </c>
      <c r="R16" t="str" vm="473">
        <f>CUBEVALUE("pbiazure://api.powerbi.com a17e9212-e5a8-47c6-999a-02ae22de8953 Model",$C$2,$C$3,$C$4,$B16,R$8)</f>
        <v/>
      </c>
      <c r="S16" t="str" vm="506">
        <f>CUBEVALUE("pbiazure://api.powerbi.com a17e9212-e5a8-47c6-999a-02ae22de8953 Model",$C$2,$C$3,$C$4,$B16,S$8)</f>
        <v/>
      </c>
      <c r="T16" t="str" vm="504">
        <f>CUBEVALUE("pbiazure://api.powerbi.com a17e9212-e5a8-47c6-999a-02ae22de8953 Model",$C$2,$C$3,$C$4,$B16,T$8)</f>
        <v/>
      </c>
      <c r="U16" vm="470">
        <f>CUBEVALUE("pbiazure://api.powerbi.com a17e9212-e5a8-47c6-999a-02ae22de8953 Model",$C$2,$C$3,$C$4,$B16,U$8)</f>
        <v>-2452.322803</v>
      </c>
      <c r="V16" vm="505">
        <f>CUBEVALUE("pbiazure://api.powerbi.com a17e9212-e5a8-47c6-999a-02ae22de8953 Model",$C$2,$C$3,$C$4,$B16,V$8)</f>
        <v>-2697.5550833000002</v>
      </c>
      <c r="W16" vm="465">
        <f>CUBEVALUE("pbiazure://api.powerbi.com a17e9212-e5a8-47c6-999a-02ae22de8953 Model",$C$2,$C$3,$C$4,$B16,W$8)</f>
        <v>-10963.737188000001</v>
      </c>
      <c r="X16" vm="456">
        <f>CUBEVALUE("pbiazure://api.powerbi.com a17e9212-e5a8-47c6-999a-02ae22de8953 Model",$C$2,$C$3,$C$4,$B16,X$8)</f>
        <v>-12060.110906800002</v>
      </c>
      <c r="Y16" t="str" vm="444">
        <f>CUBEVALUE("pbiazure://api.powerbi.com a17e9212-e5a8-47c6-999a-02ae22de8953 Model",$C$2,$C$3,$C$4,$B16,Y$8)</f>
        <v/>
      </c>
      <c r="Z16" t="str" vm="507">
        <f>CUBEVALUE("pbiazure://api.powerbi.com a17e9212-e5a8-47c6-999a-02ae22de8953 Model",$C$2,$C$3,$C$4,$B16,Z$8)</f>
        <v/>
      </c>
      <c r="AA16" vm="440">
        <f>CUBEVALUE("pbiazure://api.powerbi.com a17e9212-e5a8-47c6-999a-02ae22de8953 Model",$C$2,$C$3,$C$4,$B16,AA$7)</f>
        <v>-13416.059991</v>
      </c>
      <c r="AB16" vm="419">
        <f>CUBEVALUE("pbiazure://api.powerbi.com a17e9212-e5a8-47c6-999a-02ae22de8953 Model",$C$2,$C$3,$C$4,$B16,AB$7)</f>
        <v>-14757.665990100002</v>
      </c>
    </row>
    <row r="17" spans="2:28" x14ac:dyDescent="0.35">
      <c r="B17" s="3" t="str" vm="10">
        <f>CUBEMEMBER("pbiazure://api.powerbi.com a17e9212-e5a8-47c6-999a-02ae22de8953 Model",{"[Accounts].[Type].&amp;[Expense]","[Accounts].[Name].&amp;[Bank Fees]"})</f>
        <v>Bank Fees</v>
      </c>
      <c r="C17" t="str" vm="630">
        <f>CUBEVALUE("pbiazure://api.powerbi.com a17e9212-e5a8-47c6-999a-02ae22de8953 Model",$C$2,$C$3,$C$4,$B17,C$8)</f>
        <v/>
      </c>
      <c r="D17" t="str" vm="810">
        <f>CUBEVALUE("pbiazure://api.powerbi.com a17e9212-e5a8-47c6-999a-02ae22de8953 Model",$C$2,$C$3,$C$4,$B17,D$8)</f>
        <v/>
      </c>
      <c r="E17" t="str" vm="654">
        <f>CUBEVALUE("pbiazure://api.powerbi.com a17e9212-e5a8-47c6-999a-02ae22de8953 Model",$C$2,$C$3,$C$4,$B17,E$8)</f>
        <v/>
      </c>
      <c r="F17" t="str" vm="673">
        <f>CUBEVALUE("pbiazure://api.powerbi.com a17e9212-e5a8-47c6-999a-02ae22de8953 Model",$C$2,$C$3,$C$4,$B17,F$8)</f>
        <v/>
      </c>
      <c r="G17" t="str" vm="648">
        <f>CUBEVALUE("pbiazure://api.powerbi.com a17e9212-e5a8-47c6-999a-02ae22de8953 Model",$C$2,$C$3,$C$4,$B17,G$8)</f>
        <v/>
      </c>
      <c r="H17" t="str" vm="626">
        <f>CUBEVALUE("pbiazure://api.powerbi.com a17e9212-e5a8-47c6-999a-02ae22de8953 Model",$C$2,$C$3,$C$4,$B17,H$8)</f>
        <v/>
      </c>
      <c r="I17" t="str" vm="808">
        <f>CUBEVALUE("pbiazure://api.powerbi.com a17e9212-e5a8-47c6-999a-02ae22de8953 Model",$C$2,$C$3,$C$4,$B17,I$8)</f>
        <v/>
      </c>
      <c r="J17" t="str" vm="809">
        <f>CUBEVALUE("pbiazure://api.powerbi.com a17e9212-e5a8-47c6-999a-02ae22de8953 Model",$C$2,$C$3,$C$4,$B17,J$8)</f>
        <v/>
      </c>
      <c r="K17" t="str" vm="811">
        <f>CUBEVALUE("pbiazure://api.powerbi.com a17e9212-e5a8-47c6-999a-02ae22de8953 Model",$C$2,$C$3,$C$4,$B17,K$8)</f>
        <v/>
      </c>
      <c r="L17" t="str" vm="813">
        <f>CUBEVALUE("pbiazure://api.powerbi.com a17e9212-e5a8-47c6-999a-02ae22de8953 Model",$C$2,$C$3,$C$4,$B17,L$8)</f>
        <v/>
      </c>
      <c r="M17" t="str" vm="814">
        <f>CUBEVALUE("pbiazure://api.powerbi.com a17e9212-e5a8-47c6-999a-02ae22de8953 Model",$C$2,$C$3,$C$4,$B17,M$8)</f>
        <v/>
      </c>
      <c r="N17" t="str" vm="815">
        <f>CUBEVALUE("pbiazure://api.powerbi.com a17e9212-e5a8-47c6-999a-02ae22de8953 Model",$C$2,$C$3,$C$4,$B17,N$8)</f>
        <v/>
      </c>
      <c r="O17" t="str" vm="745">
        <f>CUBEVALUE("pbiazure://api.powerbi.com a17e9212-e5a8-47c6-999a-02ae22de8953 Model",$C$2,$C$3,$C$4,$B17,O$8)</f>
        <v/>
      </c>
      <c r="P17" t="str" vm="812">
        <f>CUBEVALUE("pbiazure://api.powerbi.com a17e9212-e5a8-47c6-999a-02ae22de8953 Model",$C$2,$C$3,$C$4,$B17,P$8)</f>
        <v/>
      </c>
      <c r="Q17" t="str" vm="499">
        <f>CUBEVALUE("pbiazure://api.powerbi.com a17e9212-e5a8-47c6-999a-02ae22de8953 Model",$C$2,$C$3,$C$4,$B17,Q$8)</f>
        <v/>
      </c>
      <c r="R17" t="str" vm="413">
        <f>CUBEVALUE("pbiazure://api.powerbi.com a17e9212-e5a8-47c6-999a-02ae22de8953 Model",$C$2,$C$3,$C$4,$B17,R$8)</f>
        <v/>
      </c>
      <c r="S17" vm="422">
        <f>CUBEVALUE("pbiazure://api.powerbi.com a17e9212-e5a8-47c6-999a-02ae22de8953 Model",$C$2,$C$3,$C$4,$B17,S$8)</f>
        <v>-20.891363999999999</v>
      </c>
      <c r="T17" vm="501">
        <f>CUBEVALUE("pbiazure://api.powerbi.com a17e9212-e5a8-47c6-999a-02ae22de8953 Model",$C$2,$C$3,$C$4,$B17,T$8)</f>
        <v>-22.9805004</v>
      </c>
      <c r="U17" vm="464">
        <f>CUBEVALUE("pbiazure://api.powerbi.com a17e9212-e5a8-47c6-999a-02ae22de8953 Model",$C$2,$C$3,$C$4,$B17,U$8)</f>
        <v>-19.909742000000001</v>
      </c>
      <c r="V17" vm="455">
        <f>CUBEVALUE("pbiazure://api.powerbi.com a17e9212-e5a8-47c6-999a-02ae22de8953 Model",$C$2,$C$3,$C$4,$B17,V$8)</f>
        <v>-21.900716200000002</v>
      </c>
      <c r="W17" t="str" vm="500">
        <f>CUBEVALUE("pbiazure://api.powerbi.com a17e9212-e5a8-47c6-999a-02ae22de8953 Model",$C$2,$C$3,$C$4,$B17,W$8)</f>
        <v/>
      </c>
      <c r="X17" t="str" vm="436">
        <f>CUBEVALUE("pbiazure://api.powerbi.com a17e9212-e5a8-47c6-999a-02ae22de8953 Model",$C$2,$C$3,$C$4,$B17,X$8)</f>
        <v/>
      </c>
      <c r="Y17" vm="502">
        <f>CUBEVALUE("pbiazure://api.powerbi.com a17e9212-e5a8-47c6-999a-02ae22de8953 Model",$C$2,$C$3,$C$4,$B17,Y$8)</f>
        <v>0</v>
      </c>
      <c r="Z17" vm="433">
        <f>CUBEVALUE("pbiazure://api.powerbi.com a17e9212-e5a8-47c6-999a-02ae22de8953 Model",$C$2,$C$3,$C$4,$B17,Z$8)</f>
        <v>0</v>
      </c>
      <c r="AA17" vm="418">
        <f>CUBEVALUE("pbiazure://api.powerbi.com a17e9212-e5a8-47c6-999a-02ae22de8953 Model",$C$2,$C$3,$C$4,$B17,AA$7)</f>
        <v>-40.801106000000004</v>
      </c>
      <c r="AB17" vm="503">
        <f>CUBEVALUE("pbiazure://api.powerbi.com a17e9212-e5a8-47c6-999a-02ae22de8953 Model",$C$2,$C$3,$C$4,$B17,AB$7)</f>
        <v>-44.881216600000002</v>
      </c>
    </row>
    <row r="18" spans="2:28" x14ac:dyDescent="0.35">
      <c r="B18" s="3" t="str" vm="8">
        <f>CUBEMEMBER("pbiazure://api.powerbi.com a17e9212-e5a8-47c6-999a-02ae22de8953 Model",{"[Accounts].[Type].&amp;[Expense]","[Accounts].[Name].&amp;[Cleaning]"})</f>
        <v>Cleaning</v>
      </c>
      <c r="C18" t="str" vm="804">
        <f>CUBEVALUE("pbiazure://api.powerbi.com a17e9212-e5a8-47c6-999a-02ae22de8953 Model",$C$2,$C$3,$C$4,$B18,C$8)</f>
        <v/>
      </c>
      <c r="D18" t="str" vm="672">
        <f>CUBEVALUE("pbiazure://api.powerbi.com a17e9212-e5a8-47c6-999a-02ae22de8953 Model",$C$2,$C$3,$C$4,$B18,D$8)</f>
        <v/>
      </c>
      <c r="E18" t="str" vm="647">
        <f>CUBEVALUE("pbiazure://api.powerbi.com a17e9212-e5a8-47c6-999a-02ae22de8953 Model",$C$2,$C$3,$C$4,$B18,E$8)</f>
        <v/>
      </c>
      <c r="F18" t="str" vm="625">
        <f>CUBEVALUE("pbiazure://api.powerbi.com a17e9212-e5a8-47c6-999a-02ae22de8953 Model",$C$2,$C$3,$C$4,$B18,F$8)</f>
        <v/>
      </c>
      <c r="G18" t="str" vm="606">
        <f>CUBEVALUE("pbiazure://api.powerbi.com a17e9212-e5a8-47c6-999a-02ae22de8953 Model",$C$2,$C$3,$C$4,$B18,G$8)</f>
        <v/>
      </c>
      <c r="H18" t="str" vm="591">
        <f>CUBEVALUE("pbiazure://api.powerbi.com a17e9212-e5a8-47c6-999a-02ae22de8953 Model",$C$2,$C$3,$C$4,$B18,H$8)</f>
        <v/>
      </c>
      <c r="I18" t="str" vm="771">
        <f>CUBEVALUE("pbiazure://api.powerbi.com a17e9212-e5a8-47c6-999a-02ae22de8953 Model",$C$2,$C$3,$C$4,$B18,I$8)</f>
        <v/>
      </c>
      <c r="J18" t="str" vm="587">
        <f>CUBEVALUE("pbiazure://api.powerbi.com a17e9212-e5a8-47c6-999a-02ae22de8953 Model",$C$2,$C$3,$C$4,$B18,J$8)</f>
        <v/>
      </c>
      <c r="K18" t="str" vm="579">
        <f>CUBEVALUE("pbiazure://api.powerbi.com a17e9212-e5a8-47c6-999a-02ae22de8953 Model",$C$2,$C$3,$C$4,$B18,K$8)</f>
        <v/>
      </c>
      <c r="L18" t="str" vm="748">
        <f>CUBEVALUE("pbiazure://api.powerbi.com a17e9212-e5a8-47c6-999a-02ae22de8953 Model",$C$2,$C$3,$C$4,$B18,L$8)</f>
        <v/>
      </c>
      <c r="M18" t="str" vm="667">
        <f>CUBEVALUE("pbiazure://api.powerbi.com a17e9212-e5a8-47c6-999a-02ae22de8953 Model",$C$2,$C$3,$C$4,$B18,M$8)</f>
        <v/>
      </c>
      <c r="N18" t="str" vm="917">
        <f>CUBEVALUE("pbiazure://api.powerbi.com a17e9212-e5a8-47c6-999a-02ae22de8953 Model",$C$2,$C$3,$C$4,$B18,N$8)</f>
        <v/>
      </c>
      <c r="O18" t="str" vm="947">
        <f>CUBEVALUE("pbiazure://api.powerbi.com a17e9212-e5a8-47c6-999a-02ae22de8953 Model",$C$2,$C$3,$C$4,$B18,O$8)</f>
        <v/>
      </c>
      <c r="P18" t="str" vm="940">
        <f>CUBEVALUE("pbiazure://api.powerbi.com a17e9212-e5a8-47c6-999a-02ae22de8953 Model",$C$2,$C$3,$C$4,$B18,P$8)</f>
        <v/>
      </c>
      <c r="Q18" t="str" vm="474">
        <f>CUBEVALUE("pbiazure://api.powerbi.com a17e9212-e5a8-47c6-999a-02ae22de8953 Model",$C$2,$C$3,$C$4,$B18,Q$8)</f>
        <v/>
      </c>
      <c r="R18" t="str" vm="412">
        <f>CUBEVALUE("pbiazure://api.powerbi.com a17e9212-e5a8-47c6-999a-02ae22de8953 Model",$C$2,$C$3,$C$4,$B18,R$8)</f>
        <v/>
      </c>
      <c r="S18" t="str" vm="463">
        <f>CUBEVALUE("pbiazure://api.powerbi.com a17e9212-e5a8-47c6-999a-02ae22de8953 Model",$C$2,$C$3,$C$4,$B18,S$8)</f>
        <v/>
      </c>
      <c r="T18" t="str" vm="454">
        <f>CUBEVALUE("pbiazure://api.powerbi.com a17e9212-e5a8-47c6-999a-02ae22de8953 Model",$C$2,$C$3,$C$4,$B18,T$8)</f>
        <v/>
      </c>
      <c r="U18" vm="395">
        <f>CUBEVALUE("pbiazure://api.powerbi.com a17e9212-e5a8-47c6-999a-02ae22de8953 Model",$C$2,$C$3,$C$4,$B18,U$8)</f>
        <v>-146.00477799999999</v>
      </c>
      <c r="V18" vm="484">
        <f>CUBEVALUE("pbiazure://api.powerbi.com a17e9212-e5a8-47c6-999a-02ae22de8953 Model",$C$2,$C$3,$C$4,$B18,V$8)</f>
        <v>-160.60525580000001</v>
      </c>
      <c r="W18" t="str" vm="406">
        <f>CUBEVALUE("pbiazure://api.powerbi.com a17e9212-e5a8-47c6-999a-02ae22de8953 Model",$C$2,$C$3,$C$4,$B18,W$8)</f>
        <v/>
      </c>
      <c r="X18" t="str" vm="553">
        <f>CUBEVALUE("pbiazure://api.powerbi.com a17e9212-e5a8-47c6-999a-02ae22de8953 Model",$C$2,$C$3,$C$4,$B18,X$8)</f>
        <v/>
      </c>
      <c r="Y18" t="str" vm="530">
        <f>CUBEVALUE("pbiazure://api.powerbi.com a17e9212-e5a8-47c6-999a-02ae22de8953 Model",$C$2,$C$3,$C$4,$B18,Y$8)</f>
        <v/>
      </c>
      <c r="Z18" t="str" vm="431">
        <f>CUBEVALUE("pbiazure://api.powerbi.com a17e9212-e5a8-47c6-999a-02ae22de8953 Model",$C$2,$C$3,$C$4,$B18,Z$8)</f>
        <v/>
      </c>
      <c r="AA18" vm="532">
        <f>CUBEVALUE("pbiazure://api.powerbi.com a17e9212-e5a8-47c6-999a-02ae22de8953 Model",$C$2,$C$3,$C$4,$B18,AA$7)</f>
        <v>-146.00477799999999</v>
      </c>
      <c r="AB18" vm="427">
        <f>CUBEVALUE("pbiazure://api.powerbi.com a17e9212-e5a8-47c6-999a-02ae22de8953 Model",$C$2,$C$3,$C$4,$B18,AB$7)</f>
        <v>-160.60525580000001</v>
      </c>
    </row>
    <row r="19" spans="2:28" x14ac:dyDescent="0.35">
      <c r="B19" s="3" t="str" vm="6">
        <f>CUBEMEMBER("pbiazure://api.powerbi.com a17e9212-e5a8-47c6-999a-02ae22de8953 Model",{"[Accounts].[Type].&amp;[Expense]","[Accounts].[Name].&amp;[Consulting &amp; Accounting]"})</f>
        <v>Consulting &amp; Accounting</v>
      </c>
      <c r="C19" t="str" vm="646">
        <f>CUBEVALUE("pbiazure://api.powerbi.com a17e9212-e5a8-47c6-999a-02ae22de8953 Model",$C$2,$C$3,$C$4,$B19,C$8)</f>
        <v/>
      </c>
      <c r="D19" t="str" vm="624">
        <f>CUBEVALUE("pbiazure://api.powerbi.com a17e9212-e5a8-47c6-999a-02ae22de8953 Model",$C$2,$C$3,$C$4,$B19,D$8)</f>
        <v/>
      </c>
      <c r="E19" t="str" vm="605">
        <f>CUBEVALUE("pbiazure://api.powerbi.com a17e9212-e5a8-47c6-999a-02ae22de8953 Model",$C$2,$C$3,$C$4,$B19,E$8)</f>
        <v/>
      </c>
      <c r="F19" t="str" vm="590">
        <f>CUBEVALUE("pbiazure://api.powerbi.com a17e9212-e5a8-47c6-999a-02ae22de8953 Model",$C$2,$C$3,$C$4,$B19,F$8)</f>
        <v/>
      </c>
      <c r="G19" t="str" vm="765">
        <f>CUBEVALUE("pbiazure://api.powerbi.com a17e9212-e5a8-47c6-999a-02ae22de8953 Model",$C$2,$C$3,$C$4,$B19,G$8)</f>
        <v/>
      </c>
      <c r="H19" t="str" vm="761">
        <f>CUBEVALUE("pbiazure://api.powerbi.com a17e9212-e5a8-47c6-999a-02ae22de8953 Model",$C$2,$C$3,$C$4,$B19,H$8)</f>
        <v/>
      </c>
      <c r="I19" t="str" vm="766">
        <f>CUBEVALUE("pbiazure://api.powerbi.com a17e9212-e5a8-47c6-999a-02ae22de8953 Model",$C$2,$C$3,$C$4,$B19,I$8)</f>
        <v/>
      </c>
      <c r="J19" t="str" vm="768">
        <f>CUBEVALUE("pbiazure://api.powerbi.com a17e9212-e5a8-47c6-999a-02ae22de8953 Model",$C$2,$C$3,$C$4,$B19,J$8)</f>
        <v/>
      </c>
      <c r="K19" t="str" vm="762">
        <f>CUBEVALUE("pbiazure://api.powerbi.com a17e9212-e5a8-47c6-999a-02ae22de8953 Model",$C$2,$C$3,$C$4,$B19,K$8)</f>
        <v/>
      </c>
      <c r="L19" t="str" vm="620">
        <f>CUBEVALUE("pbiazure://api.powerbi.com a17e9212-e5a8-47c6-999a-02ae22de8953 Model",$C$2,$C$3,$C$4,$B19,L$8)</f>
        <v/>
      </c>
      <c r="M19" t="str" vm="767">
        <f>CUBEVALUE("pbiazure://api.powerbi.com a17e9212-e5a8-47c6-999a-02ae22de8953 Model",$C$2,$C$3,$C$4,$B19,M$8)</f>
        <v/>
      </c>
      <c r="N19" t="str" vm="763">
        <f>CUBEVALUE("pbiazure://api.powerbi.com a17e9212-e5a8-47c6-999a-02ae22de8953 Model",$C$2,$C$3,$C$4,$B19,N$8)</f>
        <v/>
      </c>
      <c r="O19" t="str" vm="760">
        <f>CUBEVALUE("pbiazure://api.powerbi.com a17e9212-e5a8-47c6-999a-02ae22de8953 Model",$C$2,$C$3,$C$4,$B19,O$8)</f>
        <v/>
      </c>
      <c r="P19" t="str" vm="764">
        <f>CUBEVALUE("pbiazure://api.powerbi.com a17e9212-e5a8-47c6-999a-02ae22de8953 Model",$C$2,$C$3,$C$4,$B19,P$8)</f>
        <v/>
      </c>
      <c r="Q19" t="str" vm="297">
        <f>CUBEVALUE("pbiazure://api.powerbi.com a17e9212-e5a8-47c6-999a-02ae22de8953 Model",$C$2,$C$3,$C$4,$B19,Q$8)</f>
        <v/>
      </c>
      <c r="R19" t="str" vm="298">
        <f>CUBEVALUE("pbiazure://api.powerbi.com a17e9212-e5a8-47c6-999a-02ae22de8953 Model",$C$2,$C$3,$C$4,$B19,R$8)</f>
        <v/>
      </c>
      <c r="S19" t="str" vm="299">
        <f>CUBEVALUE("pbiazure://api.powerbi.com a17e9212-e5a8-47c6-999a-02ae22de8953 Model",$C$2,$C$3,$C$4,$B19,S$8)</f>
        <v/>
      </c>
      <c r="T19" vm="300">
        <f>CUBEVALUE("pbiazure://api.powerbi.com a17e9212-e5a8-47c6-999a-02ae22de8953 Model",$C$2,$C$3,$C$4,$B19,T$8)</f>
        <v>-29.526467452900004</v>
      </c>
      <c r="U19" vm="301">
        <f>CUBEVALUE("pbiazure://api.powerbi.com a17e9212-e5a8-47c6-999a-02ae22de8953 Model",$C$2,$C$3,$C$4,$B19,U$8)</f>
        <v>-38.492167999999999</v>
      </c>
      <c r="V19" vm="302">
        <f>CUBEVALUE("pbiazure://api.powerbi.com a17e9212-e5a8-47c6-999a-02ae22de8953 Model",$C$2,$C$3,$C$4,$B19,V$8)</f>
        <v>-71.867852252900008</v>
      </c>
      <c r="W19" vm="303">
        <f>CUBEVALUE("pbiazure://api.powerbi.com a17e9212-e5a8-47c6-999a-02ae22de8953 Model",$C$2,$C$3,$C$4,$B19,W$8)</f>
        <v>-40.713182000000003</v>
      </c>
      <c r="X19" vm="304">
        <f>CUBEVALUE("pbiazure://api.powerbi.com a17e9212-e5a8-47c6-999a-02ae22de8953 Model",$C$2,$C$3,$C$4,$B19,X$8)</f>
        <v>-74.310967652900018</v>
      </c>
      <c r="Y19" vm="305">
        <f>CUBEVALUE("pbiazure://api.powerbi.com a17e9212-e5a8-47c6-999a-02ae22de8953 Model",$C$2,$C$3,$C$4,$B19,Y$8)</f>
        <v>-40.099556999999997</v>
      </c>
      <c r="Z19" vm="306">
        <f>CUBEVALUE("pbiazure://api.powerbi.com a17e9212-e5a8-47c6-999a-02ae22de8953 Model",$C$2,$C$3,$C$4,$B19,Z$8)</f>
        <v>-44.109512700000003</v>
      </c>
      <c r="AA19" vm="531">
        <f>CUBEVALUE("pbiazure://api.powerbi.com a17e9212-e5a8-47c6-999a-02ae22de8953 Model",$C$2,$C$3,$C$4,$B19,AA$7)</f>
        <v>-119.30490700000001</v>
      </c>
      <c r="AB19" vm="408">
        <f>CUBEVALUE("pbiazure://api.powerbi.com a17e9212-e5a8-47c6-999a-02ae22de8953 Model",$C$2,$C$3,$C$4,$B19,AB$7)</f>
        <v>-219.81480005870006</v>
      </c>
    </row>
    <row r="20" spans="2:28" x14ac:dyDescent="0.35">
      <c r="B20" s="3" t="str" vm="4">
        <f>CUBEMEMBER("pbiazure://api.powerbi.com a17e9212-e5a8-47c6-999a-02ae22de8953 Model",{"[Accounts].[Type].&amp;[Expense]","[Accounts].[Name].&amp;[Dues &amp; Subscriptions]"})</f>
        <v>Dues &amp; Subscriptions</v>
      </c>
      <c r="C20" t="str" vm="873">
        <f>CUBEVALUE("pbiazure://api.powerbi.com a17e9212-e5a8-47c6-999a-02ae22de8953 Model",$C$2,$C$3,$C$4,$B20,C$8)</f>
        <v/>
      </c>
      <c r="D20" t="str" vm="875">
        <f>CUBEVALUE("pbiazure://api.powerbi.com a17e9212-e5a8-47c6-999a-02ae22de8953 Model",$C$2,$C$3,$C$4,$B20,D$8)</f>
        <v/>
      </c>
      <c r="E20" t="str" vm="877">
        <f>CUBEVALUE("pbiazure://api.powerbi.com a17e9212-e5a8-47c6-999a-02ae22de8953 Model",$C$2,$C$3,$C$4,$B20,E$8)</f>
        <v/>
      </c>
      <c r="F20" t="str" vm="878">
        <f>CUBEVALUE("pbiazure://api.powerbi.com a17e9212-e5a8-47c6-999a-02ae22de8953 Model",$C$2,$C$3,$C$4,$B20,F$8)</f>
        <v/>
      </c>
      <c r="G20" t="str" vm="879">
        <f>CUBEVALUE("pbiazure://api.powerbi.com a17e9212-e5a8-47c6-999a-02ae22de8953 Model",$C$2,$C$3,$C$4,$B20,G$8)</f>
        <v/>
      </c>
      <c r="H20" t="str" vm="880">
        <f>CUBEVALUE("pbiazure://api.powerbi.com a17e9212-e5a8-47c6-999a-02ae22de8953 Model",$C$2,$C$3,$C$4,$B20,H$8)</f>
        <v/>
      </c>
      <c r="I20" t="str" vm="872">
        <f>CUBEVALUE("pbiazure://api.powerbi.com a17e9212-e5a8-47c6-999a-02ae22de8953 Model",$C$2,$C$3,$C$4,$B20,I$8)</f>
        <v/>
      </c>
      <c r="J20" t="str" vm="870">
        <f>CUBEVALUE("pbiazure://api.powerbi.com a17e9212-e5a8-47c6-999a-02ae22de8953 Model",$C$2,$C$3,$C$4,$B20,J$8)</f>
        <v/>
      </c>
      <c r="K20" t="str" vm="744">
        <f>CUBEVALUE("pbiazure://api.powerbi.com a17e9212-e5a8-47c6-999a-02ae22de8953 Model",$C$2,$C$3,$C$4,$B20,K$8)</f>
        <v/>
      </c>
      <c r="L20" t="str" vm="876">
        <f>CUBEVALUE("pbiazure://api.powerbi.com a17e9212-e5a8-47c6-999a-02ae22de8953 Model",$C$2,$C$3,$C$4,$B20,L$8)</f>
        <v/>
      </c>
      <c r="M20" t="str" vm="871">
        <f>CUBEVALUE("pbiazure://api.powerbi.com a17e9212-e5a8-47c6-999a-02ae22de8953 Model",$C$2,$C$3,$C$4,$B20,M$8)</f>
        <v/>
      </c>
      <c r="N20" t="str" vm="874">
        <f>CUBEVALUE("pbiazure://api.powerbi.com a17e9212-e5a8-47c6-999a-02ae22de8953 Model",$C$2,$C$3,$C$4,$B20,N$8)</f>
        <v/>
      </c>
      <c r="O20" t="str" vm="945">
        <f>CUBEVALUE("pbiazure://api.powerbi.com a17e9212-e5a8-47c6-999a-02ae22de8953 Model",$C$2,$C$3,$C$4,$B20,O$8)</f>
        <v/>
      </c>
      <c r="P20" t="str" vm="933">
        <f>CUBEVALUE("pbiazure://api.powerbi.com a17e9212-e5a8-47c6-999a-02ae22de8953 Model",$C$2,$C$3,$C$4,$B20,P$8)</f>
        <v/>
      </c>
      <c r="Q20" t="str" vm="307">
        <f>CUBEVALUE("pbiazure://api.powerbi.com a17e9212-e5a8-47c6-999a-02ae22de8953 Model",$C$2,$C$3,$C$4,$B20,Q$8)</f>
        <v/>
      </c>
      <c r="R20" vm="308">
        <f>CUBEVALUE("pbiazure://api.powerbi.com a17e9212-e5a8-47c6-999a-02ae22de8953 Model",$C$2,$C$3,$C$4,$B20,R$8)</f>
        <v>-2000</v>
      </c>
      <c r="S20" t="str" vm="309">
        <f>CUBEVALUE("pbiazure://api.powerbi.com a17e9212-e5a8-47c6-999a-02ae22de8953 Model",$C$2,$C$3,$C$4,$B20,S$8)</f>
        <v/>
      </c>
      <c r="T20" t="str" vm="310">
        <f>CUBEVALUE("pbiazure://api.powerbi.com a17e9212-e5a8-47c6-999a-02ae22de8953 Model",$C$2,$C$3,$C$4,$B20,T$8)</f>
        <v/>
      </c>
      <c r="U20" t="str" vm="311">
        <f>CUBEVALUE("pbiazure://api.powerbi.com a17e9212-e5a8-47c6-999a-02ae22de8953 Model",$C$2,$C$3,$C$4,$B20,U$8)</f>
        <v/>
      </c>
      <c r="V20" t="str" vm="312">
        <f>CUBEVALUE("pbiazure://api.powerbi.com a17e9212-e5a8-47c6-999a-02ae22de8953 Model",$C$2,$C$3,$C$4,$B20,V$8)</f>
        <v/>
      </c>
      <c r="W20" t="str" vm="313">
        <f>CUBEVALUE("pbiazure://api.powerbi.com a17e9212-e5a8-47c6-999a-02ae22de8953 Model",$C$2,$C$3,$C$4,$B20,W$8)</f>
        <v/>
      </c>
      <c r="X20" vm="314">
        <f>CUBEVALUE("pbiazure://api.powerbi.com a17e9212-e5a8-47c6-999a-02ae22de8953 Model",$C$2,$C$3,$C$4,$B20,X$8)</f>
        <v>-15.170495346490002</v>
      </c>
      <c r="Y20" t="str" vm="315">
        <f>CUBEVALUE("pbiazure://api.powerbi.com a17e9212-e5a8-47c6-999a-02ae22de8953 Model",$C$2,$C$3,$C$4,$B20,Y$8)</f>
        <v/>
      </c>
      <c r="Z20" t="str" vm="316">
        <f>CUBEVALUE("pbiazure://api.powerbi.com a17e9212-e5a8-47c6-999a-02ae22de8953 Model",$C$2,$C$3,$C$4,$B20,Z$8)</f>
        <v/>
      </c>
      <c r="AA20" t="str" vm="541">
        <f>CUBEVALUE("pbiazure://api.powerbi.com a17e9212-e5a8-47c6-999a-02ae22de8953 Model",$C$2,$C$3,$C$4,$B20,AA$7)</f>
        <v/>
      </c>
      <c r="AB20" vm="542">
        <f>CUBEVALUE("pbiazure://api.powerbi.com a17e9212-e5a8-47c6-999a-02ae22de8953 Model",$C$2,$C$3,$C$4,$B20,AB$7)</f>
        <v>-2015.17049534649</v>
      </c>
    </row>
    <row r="21" spans="2:28" x14ac:dyDescent="0.35">
      <c r="B21" s="3" t="str" vm="36">
        <f>CUBEMEMBER("pbiazure://api.powerbi.com a17e9212-e5a8-47c6-999a-02ae22de8953 Model",{"[Accounts].[Type].&amp;[Expense]","[Accounts].[Name].&amp;[Entertainment]"})</f>
        <v>Entertainment</v>
      </c>
      <c r="C21" t="str" vm="844">
        <f>CUBEVALUE("pbiazure://api.powerbi.com a17e9212-e5a8-47c6-999a-02ae22de8953 Model",$C$2,$C$3,$C$4,$B21,C$8)</f>
        <v/>
      </c>
      <c r="D21" t="str" vm="845">
        <f>CUBEVALUE("pbiazure://api.powerbi.com a17e9212-e5a8-47c6-999a-02ae22de8953 Model",$C$2,$C$3,$C$4,$B21,D$8)</f>
        <v/>
      </c>
      <c r="E21" t="str" vm="847">
        <f>CUBEVALUE("pbiazure://api.powerbi.com a17e9212-e5a8-47c6-999a-02ae22de8953 Model",$C$2,$C$3,$C$4,$B21,E$8)</f>
        <v/>
      </c>
      <c r="F21" t="str" vm="848">
        <f>CUBEVALUE("pbiazure://api.powerbi.com a17e9212-e5a8-47c6-999a-02ae22de8953 Model",$C$2,$C$3,$C$4,$B21,F$8)</f>
        <v/>
      </c>
      <c r="G21" t="str" vm="697">
        <f>CUBEVALUE("pbiazure://api.powerbi.com a17e9212-e5a8-47c6-999a-02ae22de8953 Model",$C$2,$C$3,$C$4,$B21,G$8)</f>
        <v/>
      </c>
      <c r="H21" t="str" vm="665">
        <f>CUBEVALUE("pbiazure://api.powerbi.com a17e9212-e5a8-47c6-999a-02ae22de8953 Model",$C$2,$C$3,$C$4,$B21,H$8)</f>
        <v/>
      </c>
      <c r="I21" t="str" vm="846">
        <f>CUBEVALUE("pbiazure://api.powerbi.com a17e9212-e5a8-47c6-999a-02ae22de8953 Model",$C$2,$C$3,$C$4,$B21,I$8)</f>
        <v/>
      </c>
      <c r="J21" t="str" vm="843">
        <f>CUBEVALUE("pbiazure://api.powerbi.com a17e9212-e5a8-47c6-999a-02ae22de8953 Model",$C$2,$C$3,$C$4,$B21,J$8)</f>
        <v/>
      </c>
      <c r="K21" t="str" vm="708">
        <f>CUBEVALUE("pbiazure://api.powerbi.com a17e9212-e5a8-47c6-999a-02ae22de8953 Model",$C$2,$C$3,$C$4,$B21,K$8)</f>
        <v/>
      </c>
      <c r="L21" t="str" vm="661">
        <f>CUBEVALUE("pbiazure://api.powerbi.com a17e9212-e5a8-47c6-999a-02ae22de8953 Model",$C$2,$C$3,$C$4,$B21,L$8)</f>
        <v/>
      </c>
      <c r="M21" t="str" vm="734">
        <f>CUBEVALUE("pbiazure://api.powerbi.com a17e9212-e5a8-47c6-999a-02ae22de8953 Model",$C$2,$C$3,$C$4,$B21,M$8)</f>
        <v/>
      </c>
      <c r="N21" t="str" vm="720">
        <f>CUBEVALUE("pbiazure://api.powerbi.com a17e9212-e5a8-47c6-999a-02ae22de8953 Model",$C$2,$C$3,$C$4,$B21,N$8)</f>
        <v/>
      </c>
      <c r="O21" t="str" vm="948">
        <f>CUBEVALUE("pbiazure://api.powerbi.com a17e9212-e5a8-47c6-999a-02ae22de8953 Model",$C$2,$C$3,$C$4,$B21,O$8)</f>
        <v/>
      </c>
      <c r="P21" t="str" vm="842">
        <f>CUBEVALUE("pbiazure://api.powerbi.com a17e9212-e5a8-47c6-999a-02ae22de8953 Model",$C$2,$C$3,$C$4,$B21,P$8)</f>
        <v/>
      </c>
      <c r="Q21" t="str" vm="317">
        <f>CUBEVALUE("pbiazure://api.powerbi.com a17e9212-e5a8-47c6-999a-02ae22de8953 Model",$C$2,$C$3,$C$4,$B21,Q$8)</f>
        <v/>
      </c>
      <c r="R21" t="str" vm="318">
        <f>CUBEVALUE("pbiazure://api.powerbi.com a17e9212-e5a8-47c6-999a-02ae22de8953 Model",$C$2,$C$3,$C$4,$B21,R$8)</f>
        <v/>
      </c>
      <c r="S21" t="str" vm="319">
        <f>CUBEVALUE("pbiazure://api.powerbi.com a17e9212-e5a8-47c6-999a-02ae22de8953 Model",$C$2,$C$3,$C$4,$B21,S$8)</f>
        <v/>
      </c>
      <c r="T21" vm="320">
        <f>CUBEVALUE("pbiazure://api.powerbi.com a17e9212-e5a8-47c6-999a-02ae22de8953 Model",$C$2,$C$3,$C$4,$B21,T$8)</f>
        <v>-32.173667983160009</v>
      </c>
      <c r="U21" vm="321">
        <f>CUBEVALUE("pbiazure://api.powerbi.com a17e9212-e5a8-47c6-999a-02ae22de8953 Model",$C$2,$C$3,$C$4,$B21,U$8)</f>
        <v>-41.943190000000001</v>
      </c>
      <c r="V21" vm="322">
        <f>CUBEVALUE("pbiazure://api.powerbi.com a17e9212-e5a8-47c6-999a-02ae22de8953 Model",$C$2,$C$3,$C$4,$B21,V$8)</f>
        <v>-70.776837012420017</v>
      </c>
      <c r="W21" vm="323">
        <f>CUBEVALUE("pbiazure://api.powerbi.com a17e9212-e5a8-47c6-999a-02ae22de8953 Model",$C$2,$C$3,$C$4,$B21,W$8)</f>
        <v>-2136.7401359999999</v>
      </c>
      <c r="X21" vm="324">
        <f>CUBEVALUE("pbiazure://api.powerbi.com a17e9212-e5a8-47c6-999a-02ae22de8953 Model",$C$2,$C$3,$C$4,$B21,X$8)</f>
        <v>-2350.4141496000002</v>
      </c>
      <c r="Y21" t="str" vm="325">
        <f>CUBEVALUE("pbiazure://api.powerbi.com a17e9212-e5a8-47c6-999a-02ae22de8953 Model",$C$2,$C$3,$C$4,$B21,Y$8)</f>
        <v/>
      </c>
      <c r="Z21" t="str" vm="326">
        <f>CUBEVALUE("pbiazure://api.powerbi.com a17e9212-e5a8-47c6-999a-02ae22de8953 Model",$C$2,$C$3,$C$4,$B21,Z$8)</f>
        <v/>
      </c>
      <c r="AA21" vm="519">
        <f>CUBEVALUE("pbiazure://api.powerbi.com a17e9212-e5a8-47c6-999a-02ae22de8953 Model",$C$2,$C$3,$C$4,$B21,AA$7)</f>
        <v>-2178.6833259999999</v>
      </c>
      <c r="AB21" vm="520">
        <f>CUBEVALUE("pbiazure://api.powerbi.com a17e9212-e5a8-47c6-999a-02ae22de8953 Model",$C$2,$C$3,$C$4,$B21,AB$7)</f>
        <v>-2453.3646545955799</v>
      </c>
    </row>
    <row r="22" spans="2:28" x14ac:dyDescent="0.35">
      <c r="B22" s="3" t="str" vm="34">
        <f>CUBEMEMBER("pbiazure://api.powerbi.com a17e9212-e5a8-47c6-999a-02ae22de8953 Model",{"[Accounts].[Type].&amp;[Expense]","[Accounts].[Name].&amp;[Freight &amp; Courier]"})</f>
        <v>Freight &amp; Courier</v>
      </c>
      <c r="C22" t="str" vm="931">
        <f>CUBEVALUE("pbiazure://api.powerbi.com a17e9212-e5a8-47c6-999a-02ae22de8953 Model",$C$2,$C$3,$C$4,$B22,C$8)</f>
        <v/>
      </c>
      <c r="D22" t="str" vm="932">
        <f>CUBEVALUE("pbiazure://api.powerbi.com a17e9212-e5a8-47c6-999a-02ae22de8953 Model",$C$2,$C$3,$C$4,$B22,D$8)</f>
        <v/>
      </c>
      <c r="E22" t="str" vm="921">
        <f>CUBEVALUE("pbiazure://api.powerbi.com a17e9212-e5a8-47c6-999a-02ae22de8953 Model",$C$2,$C$3,$C$4,$B22,E$8)</f>
        <v/>
      </c>
      <c r="F22" t="str" vm="930">
        <f>CUBEVALUE("pbiazure://api.powerbi.com a17e9212-e5a8-47c6-999a-02ae22de8953 Model",$C$2,$C$3,$C$4,$B22,F$8)</f>
        <v/>
      </c>
      <c r="G22" t="str" vm="924">
        <f>CUBEVALUE("pbiazure://api.powerbi.com a17e9212-e5a8-47c6-999a-02ae22de8953 Model",$C$2,$C$3,$C$4,$B22,G$8)</f>
        <v/>
      </c>
      <c r="H22" t="str" vm="928">
        <f>CUBEVALUE("pbiazure://api.powerbi.com a17e9212-e5a8-47c6-999a-02ae22de8953 Model",$C$2,$C$3,$C$4,$B22,H$8)</f>
        <v/>
      </c>
      <c r="I22" t="str" vm="926">
        <f>CUBEVALUE("pbiazure://api.powerbi.com a17e9212-e5a8-47c6-999a-02ae22de8953 Model",$C$2,$C$3,$C$4,$B22,I$8)</f>
        <v/>
      </c>
      <c r="J22" t="str" vm="923">
        <f>CUBEVALUE("pbiazure://api.powerbi.com a17e9212-e5a8-47c6-999a-02ae22de8953 Model",$C$2,$C$3,$C$4,$B22,J$8)</f>
        <v/>
      </c>
      <c r="K22" t="str" vm="733">
        <f>CUBEVALUE("pbiazure://api.powerbi.com a17e9212-e5a8-47c6-999a-02ae22de8953 Model",$C$2,$C$3,$C$4,$B22,K$8)</f>
        <v/>
      </c>
      <c r="L22" t="str" vm="920">
        <f>CUBEVALUE("pbiazure://api.powerbi.com a17e9212-e5a8-47c6-999a-02ae22de8953 Model",$C$2,$C$3,$C$4,$B22,L$8)</f>
        <v/>
      </c>
      <c r="M22" t="str" vm="927">
        <f>CUBEVALUE("pbiazure://api.powerbi.com a17e9212-e5a8-47c6-999a-02ae22de8953 Model",$C$2,$C$3,$C$4,$B22,M$8)</f>
        <v/>
      </c>
      <c r="N22" t="str" vm="922">
        <f>CUBEVALUE("pbiazure://api.powerbi.com a17e9212-e5a8-47c6-999a-02ae22de8953 Model",$C$2,$C$3,$C$4,$B22,N$8)</f>
        <v/>
      </c>
      <c r="O22" t="str" vm="929">
        <f>CUBEVALUE("pbiazure://api.powerbi.com a17e9212-e5a8-47c6-999a-02ae22de8953 Model",$C$2,$C$3,$C$4,$B22,O$8)</f>
        <v/>
      </c>
      <c r="P22" t="str" vm="925">
        <f>CUBEVALUE("pbiazure://api.powerbi.com a17e9212-e5a8-47c6-999a-02ae22de8953 Model",$C$2,$C$3,$C$4,$B22,P$8)</f>
        <v/>
      </c>
      <c r="Q22" t="str" vm="567">
        <f>CUBEVALUE("pbiazure://api.powerbi.com a17e9212-e5a8-47c6-999a-02ae22de8953 Model",$C$2,$C$3,$C$4,$B22,Q$8)</f>
        <v/>
      </c>
      <c r="R22" t="str" vm="568">
        <f>CUBEVALUE("pbiazure://api.powerbi.com a17e9212-e5a8-47c6-999a-02ae22de8953 Model",$C$2,$C$3,$C$4,$B22,R$8)</f>
        <v/>
      </c>
      <c r="S22" t="str" vm="570">
        <f>CUBEVALUE("pbiazure://api.powerbi.com a17e9212-e5a8-47c6-999a-02ae22de8953 Model",$C$2,$C$3,$C$4,$B22,S$8)</f>
        <v/>
      </c>
      <c r="T22" t="str" vm="569">
        <f>CUBEVALUE("pbiazure://api.powerbi.com a17e9212-e5a8-47c6-999a-02ae22de8953 Model",$C$2,$C$3,$C$4,$B22,T$8)</f>
        <v/>
      </c>
      <c r="U22" t="str" vm="571">
        <f>CUBEVALUE("pbiazure://api.powerbi.com a17e9212-e5a8-47c6-999a-02ae22de8953 Model",$C$2,$C$3,$C$4,$B22,U$8)</f>
        <v/>
      </c>
      <c r="V22" t="str" vm="572">
        <f>CUBEVALUE("pbiazure://api.powerbi.com a17e9212-e5a8-47c6-999a-02ae22de8953 Model",$C$2,$C$3,$C$4,$B22,V$8)</f>
        <v/>
      </c>
      <c r="W22" t="str" vm="573">
        <f>CUBEVALUE("pbiazure://api.powerbi.com a17e9212-e5a8-47c6-999a-02ae22de8953 Model",$C$2,$C$3,$C$4,$B22,W$8)</f>
        <v/>
      </c>
      <c r="X22" t="str" vm="574">
        <f>CUBEVALUE("pbiazure://api.powerbi.com a17e9212-e5a8-47c6-999a-02ae22de8953 Model",$C$2,$C$3,$C$4,$B22,X$8)</f>
        <v/>
      </c>
      <c r="Y22" vm="576">
        <f>CUBEVALUE("pbiazure://api.powerbi.com a17e9212-e5a8-47c6-999a-02ae22de8953 Model",$C$2,$C$3,$C$4,$B22,Y$8)</f>
        <v>-145.87942500000003</v>
      </c>
      <c r="Z22" vm="575">
        <f>CUBEVALUE("pbiazure://api.powerbi.com a17e9212-e5a8-47c6-999a-02ae22de8953 Model",$C$2,$C$3,$C$4,$B22,Z$8)</f>
        <v>-160.46736750000005</v>
      </c>
      <c r="AA22" vm="577">
        <f>CUBEVALUE("pbiazure://api.powerbi.com a17e9212-e5a8-47c6-999a-02ae22de8953 Model",$C$2,$C$3,$C$4,$B22,AA$7)</f>
        <v>-145.87942500000003</v>
      </c>
      <c r="AB22" vm="578">
        <f>CUBEVALUE("pbiazure://api.powerbi.com a17e9212-e5a8-47c6-999a-02ae22de8953 Model",$C$2,$C$3,$C$4,$B22,AB$7)</f>
        <v>-160.46736750000005</v>
      </c>
    </row>
    <row r="23" spans="2:28" x14ac:dyDescent="0.35">
      <c r="B23" s="3" t="str" vm="31">
        <f>CUBEMEMBER("pbiazure://api.powerbi.com a17e9212-e5a8-47c6-999a-02ae22de8953 Model",{"[Accounts].[Type].&amp;[Expense]","[Accounts].[Name].&amp;[General Expenses]"})</f>
        <v>General Expenses</v>
      </c>
      <c r="C23" t="str" vm="907">
        <f>CUBEVALUE("pbiazure://api.powerbi.com a17e9212-e5a8-47c6-999a-02ae22de8953 Model",$C$2,$C$3,$C$4,$B23,C$8)</f>
        <v/>
      </c>
      <c r="D23" t="str" vm="911">
        <f>CUBEVALUE("pbiazure://api.powerbi.com a17e9212-e5a8-47c6-999a-02ae22de8953 Model",$C$2,$C$3,$C$4,$B23,D$8)</f>
        <v/>
      </c>
      <c r="E23" t="str" vm="693">
        <f>CUBEVALUE("pbiazure://api.powerbi.com a17e9212-e5a8-47c6-999a-02ae22de8953 Model",$C$2,$C$3,$C$4,$B23,E$8)</f>
        <v/>
      </c>
      <c r="F23" t="str" vm="905">
        <f>CUBEVALUE("pbiazure://api.powerbi.com a17e9212-e5a8-47c6-999a-02ae22de8953 Model",$C$2,$C$3,$C$4,$B23,F$8)</f>
        <v/>
      </c>
      <c r="G23" t="str" vm="690">
        <f>CUBEVALUE("pbiazure://api.powerbi.com a17e9212-e5a8-47c6-999a-02ae22de8953 Model",$C$2,$C$3,$C$4,$B23,G$8)</f>
        <v/>
      </c>
      <c r="H23" t="str" vm="912">
        <f>CUBEVALUE("pbiazure://api.powerbi.com a17e9212-e5a8-47c6-999a-02ae22de8953 Model",$C$2,$C$3,$C$4,$B23,H$8)</f>
        <v/>
      </c>
      <c r="I23" t="str" vm="732">
        <f>CUBEVALUE("pbiazure://api.powerbi.com a17e9212-e5a8-47c6-999a-02ae22de8953 Model",$C$2,$C$3,$C$4,$B23,I$8)</f>
        <v/>
      </c>
      <c r="J23" t="str" vm="719">
        <f>CUBEVALUE("pbiazure://api.powerbi.com a17e9212-e5a8-47c6-999a-02ae22de8953 Model",$C$2,$C$3,$C$4,$B23,J$8)</f>
        <v/>
      </c>
      <c r="K23" t="str" vm="909">
        <f>CUBEVALUE("pbiazure://api.powerbi.com a17e9212-e5a8-47c6-999a-02ae22de8953 Model",$C$2,$C$3,$C$4,$B23,K$8)</f>
        <v/>
      </c>
      <c r="L23" t="str" vm="906">
        <f>CUBEVALUE("pbiazure://api.powerbi.com a17e9212-e5a8-47c6-999a-02ae22de8953 Model",$C$2,$C$3,$C$4,$B23,L$8)</f>
        <v/>
      </c>
      <c r="M23" t="str" vm="703">
        <f>CUBEVALUE("pbiazure://api.powerbi.com a17e9212-e5a8-47c6-999a-02ae22de8953 Model",$C$2,$C$3,$C$4,$B23,M$8)</f>
        <v/>
      </c>
      <c r="N23" t="str" vm="904">
        <f>CUBEVALUE("pbiazure://api.powerbi.com a17e9212-e5a8-47c6-999a-02ae22de8953 Model",$C$2,$C$3,$C$4,$B23,N$8)</f>
        <v/>
      </c>
      <c r="O23" t="str" vm="910">
        <f>CUBEVALUE("pbiazure://api.powerbi.com a17e9212-e5a8-47c6-999a-02ae22de8953 Model",$C$2,$C$3,$C$4,$B23,O$8)</f>
        <v/>
      </c>
      <c r="P23" t="str" vm="908">
        <f>CUBEVALUE("pbiazure://api.powerbi.com a17e9212-e5a8-47c6-999a-02ae22de8953 Model",$C$2,$C$3,$C$4,$B23,P$8)</f>
        <v/>
      </c>
      <c r="Q23" t="str" vm="327">
        <f>CUBEVALUE("pbiazure://api.powerbi.com a17e9212-e5a8-47c6-999a-02ae22de8953 Model",$C$2,$C$3,$C$4,$B23,Q$8)</f>
        <v/>
      </c>
      <c r="R23" t="str" vm="328">
        <f>CUBEVALUE("pbiazure://api.powerbi.com a17e9212-e5a8-47c6-999a-02ae22de8953 Model",$C$2,$C$3,$C$4,$B23,R$8)</f>
        <v/>
      </c>
      <c r="S23" t="str" vm="329">
        <f>CUBEVALUE("pbiazure://api.powerbi.com a17e9212-e5a8-47c6-999a-02ae22de8953 Model",$C$2,$C$3,$C$4,$B23,S$8)</f>
        <v/>
      </c>
      <c r="T23" vm="330">
        <f>CUBEVALUE("pbiazure://api.powerbi.com a17e9212-e5a8-47c6-999a-02ae22de8953 Model",$C$2,$C$3,$C$4,$B23,T$8)</f>
        <v>-117.29134657152001</v>
      </c>
      <c r="U23" vm="331">
        <f>CUBEVALUE("pbiazure://api.powerbi.com a17e9212-e5a8-47c6-999a-02ae22de8953 Model",$C$2,$C$3,$C$4,$B23,U$8)</f>
        <v>-61.308732999999997</v>
      </c>
      <c r="V23" vm="332">
        <f>CUBEVALUE("pbiazure://api.powerbi.com a17e9212-e5a8-47c6-999a-02ae22de8953 Model",$C$2,$C$3,$C$4,$B23,V$8)</f>
        <v>-67.439606300000008</v>
      </c>
      <c r="W23" vm="333">
        <f>CUBEVALUE("pbiazure://api.powerbi.com a17e9212-e5a8-47c6-999a-02ae22de8953 Model",$C$2,$C$3,$C$4,$B23,W$8)</f>
        <v>0</v>
      </c>
      <c r="X23" vm="334">
        <f>CUBEVALUE("pbiazure://api.powerbi.com a17e9212-e5a8-47c6-999a-02ae22de8953 Model",$C$2,$C$3,$C$4,$B23,X$8)</f>
        <v>-203.63081002000004</v>
      </c>
      <c r="Y23" vm="335">
        <f>CUBEVALUE("pbiazure://api.powerbi.com a17e9212-e5a8-47c6-999a-02ae22de8953 Model",$C$2,$C$3,$C$4,$B23,Y$8)</f>
        <v>-166.05365</v>
      </c>
      <c r="Z23" vm="336">
        <f>CUBEVALUE("pbiazure://api.powerbi.com a17e9212-e5a8-47c6-999a-02ae22de8953 Model",$C$2,$C$3,$C$4,$B23,Z$8)</f>
        <v>-182.65901500000001</v>
      </c>
      <c r="AA23" vm="566">
        <f>CUBEVALUE("pbiazure://api.powerbi.com a17e9212-e5a8-47c6-999a-02ae22de8953 Model",$C$2,$C$3,$C$4,$B23,AA$7)</f>
        <v>-227.36238299999999</v>
      </c>
      <c r="AB23" vm="439">
        <f>CUBEVALUE("pbiazure://api.powerbi.com a17e9212-e5a8-47c6-999a-02ae22de8953 Model",$C$2,$C$3,$C$4,$B23,AB$7)</f>
        <v>-571.02077789152008</v>
      </c>
    </row>
    <row r="24" spans="2:28" x14ac:dyDescent="0.35">
      <c r="B24" s="3" t="str" vm="23">
        <f>CUBEMEMBER("pbiazure://api.powerbi.com a17e9212-e5a8-47c6-999a-02ae22de8953 Model",{"[Accounts].[Type].&amp;[Expense]","[Accounts].[Name].&amp;[Light, Power, Heating]"})</f>
        <v>Light, Power, Heating</v>
      </c>
      <c r="C24" t="str" vm="663">
        <f>CUBEVALUE("pbiazure://api.powerbi.com a17e9212-e5a8-47c6-999a-02ae22de8953 Model",$C$2,$C$3,$C$4,$B24,C$8)</f>
        <v/>
      </c>
      <c r="D24" t="str" vm="711">
        <f>CUBEVALUE("pbiazure://api.powerbi.com a17e9212-e5a8-47c6-999a-02ae22de8953 Model",$C$2,$C$3,$C$4,$B24,D$8)</f>
        <v/>
      </c>
      <c r="E24" t="str" vm="586">
        <f>CUBEVALUE("pbiazure://api.powerbi.com a17e9212-e5a8-47c6-999a-02ae22de8953 Model",$C$2,$C$3,$C$4,$B24,E$8)</f>
        <v/>
      </c>
      <c r="F24" t="str" vm="706">
        <f>CUBEVALUE("pbiazure://api.powerbi.com a17e9212-e5a8-47c6-999a-02ae22de8953 Model",$C$2,$C$3,$C$4,$B24,F$8)</f>
        <v/>
      </c>
      <c r="G24" t="str" vm="731">
        <f>CUBEVALUE("pbiazure://api.powerbi.com a17e9212-e5a8-47c6-999a-02ae22de8953 Model",$C$2,$C$3,$C$4,$B24,G$8)</f>
        <v/>
      </c>
      <c r="H24" t="str" vm="718">
        <f>CUBEVALUE("pbiazure://api.powerbi.com a17e9212-e5a8-47c6-999a-02ae22de8953 Model",$C$2,$C$3,$C$4,$B24,H$8)</f>
        <v/>
      </c>
      <c r="I24" t="str" vm="769">
        <f>CUBEVALUE("pbiazure://api.powerbi.com a17e9212-e5a8-47c6-999a-02ae22de8953 Model",$C$2,$C$3,$C$4,$B24,I$8)</f>
        <v/>
      </c>
      <c r="J24" t="str" vm="685">
        <f>CUBEVALUE("pbiazure://api.powerbi.com a17e9212-e5a8-47c6-999a-02ae22de8953 Model",$C$2,$C$3,$C$4,$B24,J$8)</f>
        <v/>
      </c>
      <c r="K24" t="str" vm="657">
        <f>CUBEVALUE("pbiazure://api.powerbi.com a17e9212-e5a8-47c6-999a-02ae22de8953 Model",$C$2,$C$3,$C$4,$B24,K$8)</f>
        <v/>
      </c>
      <c r="L24" t="str" vm="614">
        <f>CUBEVALUE("pbiazure://api.powerbi.com a17e9212-e5a8-47c6-999a-02ae22de8953 Model",$C$2,$C$3,$C$4,$B24,L$8)</f>
        <v/>
      </c>
      <c r="M24" t="str" vm="597">
        <f>CUBEVALUE("pbiazure://api.powerbi.com a17e9212-e5a8-47c6-999a-02ae22de8953 Model",$C$2,$C$3,$C$4,$B24,M$8)</f>
        <v/>
      </c>
      <c r="N24" t="str" vm="918">
        <f>CUBEVALUE("pbiazure://api.powerbi.com a17e9212-e5a8-47c6-999a-02ae22de8953 Model",$C$2,$C$3,$C$4,$B24,N$8)</f>
        <v/>
      </c>
      <c r="O24" t="str" vm="953">
        <f>CUBEVALUE("pbiazure://api.powerbi.com a17e9212-e5a8-47c6-999a-02ae22de8953 Model",$C$2,$C$3,$C$4,$B24,O$8)</f>
        <v/>
      </c>
      <c r="P24" t="str" vm="938">
        <f>CUBEVALUE("pbiazure://api.powerbi.com a17e9212-e5a8-47c6-999a-02ae22de8953 Model",$C$2,$C$3,$C$4,$B24,P$8)</f>
        <v/>
      </c>
      <c r="Q24" t="str" vm="415">
        <f>CUBEVALUE("pbiazure://api.powerbi.com a17e9212-e5a8-47c6-999a-02ae22de8953 Model",$C$2,$C$3,$C$4,$B24,Q$8)</f>
        <v/>
      </c>
      <c r="R24" t="str" vm="517">
        <f>CUBEVALUE("pbiazure://api.powerbi.com a17e9212-e5a8-47c6-999a-02ae22de8953 Model",$C$2,$C$3,$C$4,$B24,R$8)</f>
        <v/>
      </c>
      <c r="S24" t="str" vm="403">
        <f>CUBEVALUE("pbiazure://api.powerbi.com a17e9212-e5a8-47c6-999a-02ae22de8953 Model",$C$2,$C$3,$C$4,$B24,S$8)</f>
        <v/>
      </c>
      <c r="T24" t="str" vm="490">
        <f>CUBEVALUE("pbiazure://api.powerbi.com a17e9212-e5a8-47c6-999a-02ae22de8953 Model",$C$2,$C$3,$C$4,$B24,T$8)</f>
        <v/>
      </c>
      <c r="U24" vm="394">
        <f>CUBEVALUE("pbiazure://api.powerbi.com a17e9212-e5a8-47c6-999a-02ae22de8953 Model",$C$2,$C$3,$C$4,$B24,U$8)</f>
        <v>-146.00477799999999</v>
      </c>
      <c r="V24" vm="479">
        <f>CUBEVALUE("pbiazure://api.powerbi.com a17e9212-e5a8-47c6-999a-02ae22de8953 Model",$C$2,$C$3,$C$4,$B24,V$8)</f>
        <v>-160.60525580000001</v>
      </c>
      <c r="W24" vm="480">
        <f>CUBEVALUE("pbiazure://api.powerbi.com a17e9212-e5a8-47c6-999a-02ae22de8953 Model",$C$2,$C$3,$C$4,$B24,W$8)</f>
        <v>-176.189807</v>
      </c>
      <c r="X24" vm="482">
        <f>CUBEVALUE("pbiazure://api.powerbi.com a17e9212-e5a8-47c6-999a-02ae22de8953 Model",$C$2,$C$3,$C$4,$B24,X$8)</f>
        <v>-193.80878770000001</v>
      </c>
      <c r="Y24" vm="528">
        <f>CUBEVALUE("pbiazure://api.powerbi.com a17e9212-e5a8-47c6-999a-02ae22de8953 Model",$C$2,$C$3,$C$4,$B24,Y$8)</f>
        <v>-138.716814</v>
      </c>
      <c r="Z24" vm="449">
        <f>CUBEVALUE("pbiazure://api.powerbi.com a17e9212-e5a8-47c6-999a-02ae22de8953 Model",$C$2,$C$3,$C$4,$B24,Z$8)</f>
        <v>-152.5884954</v>
      </c>
      <c r="AA24" vm="448">
        <f>CUBEVALUE("pbiazure://api.powerbi.com a17e9212-e5a8-47c6-999a-02ae22de8953 Model",$C$2,$C$3,$C$4,$B24,AA$7)</f>
        <v>-460.91139899999996</v>
      </c>
      <c r="AB24" vm="481">
        <f>CUBEVALUE("pbiazure://api.powerbi.com a17e9212-e5a8-47c6-999a-02ae22de8953 Model",$C$2,$C$3,$C$4,$B24,AB$7)</f>
        <v>-507.00253890000005</v>
      </c>
    </row>
    <row r="25" spans="2:28" x14ac:dyDescent="0.35">
      <c r="B25" s="3" t="str" vm="21">
        <f>CUBEMEMBER("pbiazure://api.powerbi.com a17e9212-e5a8-47c6-999a-02ae22de8953 Model",{"[Accounts].[Type].&amp;[Expense]","[Accounts].[Name].&amp;[Motor Vehicle Expenses]"})</f>
        <v>Motor Vehicle Expenses</v>
      </c>
      <c r="C25" t="str" vm="897">
        <f>CUBEVALUE("pbiazure://api.powerbi.com a17e9212-e5a8-47c6-999a-02ae22de8953 Model",$C$2,$C$3,$C$4,$B25,C$8)</f>
        <v/>
      </c>
      <c r="D25" t="str" vm="901">
        <f>CUBEVALUE("pbiazure://api.powerbi.com a17e9212-e5a8-47c6-999a-02ae22de8953 Model",$C$2,$C$3,$C$4,$B25,D$8)</f>
        <v/>
      </c>
      <c r="E25" t="str" vm="730">
        <f>CUBEVALUE("pbiazure://api.powerbi.com a17e9212-e5a8-47c6-999a-02ae22de8953 Model",$C$2,$C$3,$C$4,$B25,E$8)</f>
        <v/>
      </c>
      <c r="F25" t="str" vm="717">
        <f>CUBEVALUE("pbiazure://api.powerbi.com a17e9212-e5a8-47c6-999a-02ae22de8953 Model",$C$2,$C$3,$C$4,$B25,F$8)</f>
        <v/>
      </c>
      <c r="G25" t="str" vm="898">
        <f>CUBEVALUE("pbiazure://api.powerbi.com a17e9212-e5a8-47c6-999a-02ae22de8953 Model",$C$2,$C$3,$C$4,$B25,G$8)</f>
        <v/>
      </c>
      <c r="H25" t="str" vm="902">
        <f>CUBEVALUE("pbiazure://api.powerbi.com a17e9212-e5a8-47c6-999a-02ae22de8953 Model",$C$2,$C$3,$C$4,$B25,H$8)</f>
        <v/>
      </c>
      <c r="I25" t="str" vm="702">
        <f>CUBEVALUE("pbiazure://api.powerbi.com a17e9212-e5a8-47c6-999a-02ae22de8953 Model",$C$2,$C$3,$C$4,$B25,I$8)</f>
        <v/>
      </c>
      <c r="J25" t="str" vm="894">
        <f>CUBEVALUE("pbiazure://api.powerbi.com a17e9212-e5a8-47c6-999a-02ae22de8953 Model",$C$2,$C$3,$C$4,$B25,J$8)</f>
        <v/>
      </c>
      <c r="K25" t="str" vm="895">
        <f>CUBEVALUE("pbiazure://api.powerbi.com a17e9212-e5a8-47c6-999a-02ae22de8953 Model",$C$2,$C$3,$C$4,$B25,K$8)</f>
        <v/>
      </c>
      <c r="L25" t="str" vm="903">
        <f>CUBEVALUE("pbiazure://api.powerbi.com a17e9212-e5a8-47c6-999a-02ae22de8953 Model",$C$2,$C$3,$C$4,$B25,L$8)</f>
        <v/>
      </c>
      <c r="M25" t="str" vm="900">
        <f>CUBEVALUE("pbiazure://api.powerbi.com a17e9212-e5a8-47c6-999a-02ae22de8953 Model",$C$2,$C$3,$C$4,$B25,M$8)</f>
        <v/>
      </c>
      <c r="N25" t="str" vm="893">
        <f>CUBEVALUE("pbiazure://api.powerbi.com a17e9212-e5a8-47c6-999a-02ae22de8953 Model",$C$2,$C$3,$C$4,$B25,N$8)</f>
        <v/>
      </c>
      <c r="O25" t="str" vm="896">
        <f>CUBEVALUE("pbiazure://api.powerbi.com a17e9212-e5a8-47c6-999a-02ae22de8953 Model",$C$2,$C$3,$C$4,$B25,O$8)</f>
        <v/>
      </c>
      <c r="P25" t="str" vm="899">
        <f>CUBEVALUE("pbiazure://api.powerbi.com a17e9212-e5a8-47c6-999a-02ae22de8953 Model",$C$2,$C$3,$C$4,$B25,P$8)</f>
        <v/>
      </c>
      <c r="Q25" t="str" vm="555">
        <f>CUBEVALUE("pbiazure://api.powerbi.com a17e9212-e5a8-47c6-999a-02ae22de8953 Model",$C$2,$C$3,$C$4,$B25,Q$8)</f>
        <v/>
      </c>
      <c r="R25" t="str" vm="557">
        <f>CUBEVALUE("pbiazure://api.powerbi.com a17e9212-e5a8-47c6-999a-02ae22de8953 Model",$C$2,$C$3,$C$4,$B25,R$8)</f>
        <v/>
      </c>
      <c r="S25" t="str" vm="561">
        <f>CUBEVALUE("pbiazure://api.powerbi.com a17e9212-e5a8-47c6-999a-02ae22de8953 Model",$C$2,$C$3,$C$4,$B25,S$8)</f>
        <v/>
      </c>
      <c r="T25" t="str" vm="562">
        <f>CUBEVALUE("pbiazure://api.powerbi.com a17e9212-e5a8-47c6-999a-02ae22de8953 Model",$C$2,$C$3,$C$4,$B25,T$8)</f>
        <v/>
      </c>
      <c r="U25" vm="564">
        <f>CUBEVALUE("pbiazure://api.powerbi.com a17e9212-e5a8-47c6-999a-02ae22de8953 Model",$C$2,$C$3,$C$4,$B25,U$8)</f>
        <v>-182.081231</v>
      </c>
      <c r="V25" vm="565">
        <f>CUBEVALUE("pbiazure://api.powerbi.com a17e9212-e5a8-47c6-999a-02ae22de8953 Model",$C$2,$C$3,$C$4,$B25,V$8)</f>
        <v>-200.28935410000003</v>
      </c>
      <c r="W25" vm="558">
        <f>CUBEVALUE("pbiazure://api.powerbi.com a17e9212-e5a8-47c6-999a-02ae22de8953 Model",$C$2,$C$3,$C$4,$B25,W$8)</f>
        <v>-192.58739199999999</v>
      </c>
      <c r="X25" vm="563">
        <f>CUBEVALUE("pbiazure://api.powerbi.com a17e9212-e5a8-47c6-999a-02ae22de8953 Model",$C$2,$C$3,$C$4,$B25,X$8)</f>
        <v>-211.8461312</v>
      </c>
      <c r="Y25" vm="559">
        <f>CUBEVALUE("pbiazure://api.powerbi.com a17e9212-e5a8-47c6-999a-02ae22de8953 Model",$C$2,$C$3,$C$4,$B25,Y$8)</f>
        <v>-525.44247700000005</v>
      </c>
      <c r="Z25" vm="554">
        <f>CUBEVALUE("pbiazure://api.powerbi.com a17e9212-e5a8-47c6-999a-02ae22de8953 Model",$C$2,$C$3,$C$4,$B25,Z$8)</f>
        <v>-577.98672470000008</v>
      </c>
      <c r="AA25" vm="556">
        <f>CUBEVALUE("pbiazure://api.powerbi.com a17e9212-e5a8-47c6-999a-02ae22de8953 Model",$C$2,$C$3,$C$4,$B25,AA$7)</f>
        <v>-900.11109999999996</v>
      </c>
      <c r="AB25" vm="560">
        <f>CUBEVALUE("pbiazure://api.powerbi.com a17e9212-e5a8-47c6-999a-02ae22de8953 Model",$C$2,$C$3,$C$4,$B25,AB$7)</f>
        <v>-990.12221000000022</v>
      </c>
    </row>
    <row r="26" spans="2:28" x14ac:dyDescent="0.35">
      <c r="B26" s="3" t="str" vm="19">
        <f>CUBEMEMBER("pbiazure://api.powerbi.com a17e9212-e5a8-47c6-999a-02ae22de8953 Model",{"[Accounts].[Type].&amp;[Expense]","[Accounts].[Name].&amp;[Office Expenses]"})</f>
        <v>Office Expenses</v>
      </c>
      <c r="C26" t="str" vm="729">
        <f>CUBEVALUE("pbiazure://api.powerbi.com a17e9212-e5a8-47c6-999a-02ae22de8953 Model",$C$2,$C$3,$C$4,$B26,C$8)</f>
        <v/>
      </c>
      <c r="D26" t="str" vm="716">
        <f>CUBEVALUE("pbiazure://api.powerbi.com a17e9212-e5a8-47c6-999a-02ae22de8953 Model",$C$2,$C$3,$C$4,$B26,D$8)</f>
        <v/>
      </c>
      <c r="E26" t="str" vm="862">
        <f>CUBEVALUE("pbiazure://api.powerbi.com a17e9212-e5a8-47c6-999a-02ae22de8953 Model",$C$2,$C$3,$C$4,$B26,E$8)</f>
        <v/>
      </c>
      <c r="F26" t="str" vm="863">
        <f>CUBEVALUE("pbiazure://api.powerbi.com a17e9212-e5a8-47c6-999a-02ae22de8953 Model",$C$2,$C$3,$C$4,$B26,F$8)</f>
        <v/>
      </c>
      <c r="G26" t="str" vm="868">
        <f>CUBEVALUE("pbiazure://api.powerbi.com a17e9212-e5a8-47c6-999a-02ae22de8953 Model",$C$2,$C$3,$C$4,$B26,G$8)</f>
        <v/>
      </c>
      <c r="H26" t="str" vm="683">
        <f>CUBEVALUE("pbiazure://api.powerbi.com a17e9212-e5a8-47c6-999a-02ae22de8953 Model",$C$2,$C$3,$C$4,$B26,H$8)</f>
        <v/>
      </c>
      <c r="I26" t="str" vm="867">
        <f>CUBEVALUE("pbiazure://api.powerbi.com a17e9212-e5a8-47c6-999a-02ae22de8953 Model",$C$2,$C$3,$C$4,$B26,I$8)</f>
        <v/>
      </c>
      <c r="J26" t="str" vm="869">
        <f>CUBEVALUE("pbiazure://api.powerbi.com a17e9212-e5a8-47c6-999a-02ae22de8953 Model",$C$2,$C$3,$C$4,$B26,J$8)</f>
        <v/>
      </c>
      <c r="K26" t="str" vm="860">
        <f>CUBEVALUE("pbiazure://api.powerbi.com a17e9212-e5a8-47c6-999a-02ae22de8953 Model",$C$2,$C$3,$C$4,$B26,K$8)</f>
        <v/>
      </c>
      <c r="L26" t="str" vm="671">
        <f>CUBEVALUE("pbiazure://api.powerbi.com a17e9212-e5a8-47c6-999a-02ae22de8953 Model",$C$2,$C$3,$C$4,$B26,L$8)</f>
        <v/>
      </c>
      <c r="M26" t="str" vm="861">
        <f>CUBEVALUE("pbiazure://api.powerbi.com a17e9212-e5a8-47c6-999a-02ae22de8953 Model",$C$2,$C$3,$C$4,$B26,M$8)</f>
        <v/>
      </c>
      <c r="N26" t="str" vm="864">
        <f>CUBEVALUE("pbiazure://api.powerbi.com a17e9212-e5a8-47c6-999a-02ae22de8953 Model",$C$2,$C$3,$C$4,$B26,N$8)</f>
        <v/>
      </c>
      <c r="O26" t="str" vm="865">
        <f>CUBEVALUE("pbiazure://api.powerbi.com a17e9212-e5a8-47c6-999a-02ae22de8953 Model",$C$2,$C$3,$C$4,$B26,O$8)</f>
        <v/>
      </c>
      <c r="P26" t="str" vm="866">
        <f>CUBEVALUE("pbiazure://api.powerbi.com a17e9212-e5a8-47c6-999a-02ae22de8953 Model",$C$2,$C$3,$C$4,$B26,P$8)</f>
        <v/>
      </c>
      <c r="Q26" t="str" vm="538">
        <f>CUBEVALUE("pbiazure://api.powerbi.com a17e9212-e5a8-47c6-999a-02ae22de8953 Model",$C$2,$C$3,$C$4,$B26,Q$8)</f>
        <v/>
      </c>
      <c r="R26" t="str" vm="537">
        <f>CUBEVALUE("pbiazure://api.powerbi.com a17e9212-e5a8-47c6-999a-02ae22de8953 Model",$C$2,$C$3,$C$4,$B26,R$8)</f>
        <v/>
      </c>
      <c r="S26" t="str" vm="539">
        <f>CUBEVALUE("pbiazure://api.powerbi.com a17e9212-e5a8-47c6-999a-02ae22de8953 Model",$C$2,$C$3,$C$4,$B26,S$8)</f>
        <v/>
      </c>
      <c r="T26" t="str" vm="540">
        <f>CUBEVALUE("pbiazure://api.powerbi.com a17e9212-e5a8-47c6-999a-02ae22de8953 Model",$C$2,$C$3,$C$4,$B26,T$8)</f>
        <v/>
      </c>
      <c r="U26" vm="424">
        <f>CUBEVALUE("pbiazure://api.powerbi.com a17e9212-e5a8-47c6-999a-02ae22de8953 Model",$C$2,$C$3,$C$4,$B26,U$8)</f>
        <v>-785.41279499999996</v>
      </c>
      <c r="V26" vm="472">
        <f>CUBEVALUE("pbiazure://api.powerbi.com a17e9212-e5a8-47c6-999a-02ae22de8953 Model",$C$2,$C$3,$C$4,$B26,V$8)</f>
        <v>-863.95407450000016</v>
      </c>
      <c r="W26" vm="535">
        <f>CUBEVALUE("pbiazure://api.powerbi.com a17e9212-e5a8-47c6-999a-02ae22de8953 Model",$C$2,$C$3,$C$4,$B26,W$8)</f>
        <v>-159.69394700000001</v>
      </c>
      <c r="X26" vm="536">
        <f>CUBEVALUE("pbiazure://api.powerbi.com a17e9212-e5a8-47c6-999a-02ae22de8953 Model",$C$2,$C$3,$C$4,$B26,X$8)</f>
        <v>-175.66334170000002</v>
      </c>
      <c r="Y26" vm="445">
        <f>CUBEVALUE("pbiazure://api.powerbi.com a17e9212-e5a8-47c6-999a-02ae22de8953 Model",$C$2,$C$3,$C$4,$B26,Y$8)</f>
        <v>-72.054756999999995</v>
      </c>
      <c r="Z26" vm="468">
        <f>CUBEVALUE("pbiazure://api.powerbi.com a17e9212-e5a8-47c6-999a-02ae22de8953 Model",$C$2,$C$3,$C$4,$B26,Z$8)</f>
        <v>-79.260232700000003</v>
      </c>
      <c r="AA26" vm="462">
        <f>CUBEVALUE("pbiazure://api.powerbi.com a17e9212-e5a8-47c6-999a-02ae22de8953 Model",$C$2,$C$3,$C$4,$B26,AA$7)</f>
        <v>-1017.161499</v>
      </c>
      <c r="AB26" vm="453">
        <f>CUBEVALUE("pbiazure://api.powerbi.com a17e9212-e5a8-47c6-999a-02ae22de8953 Model",$C$2,$C$3,$C$4,$B26,AB$7)</f>
        <v>-1118.8776489000002</v>
      </c>
    </row>
    <row r="27" spans="2:28" x14ac:dyDescent="0.35">
      <c r="B27" s="3" t="str" vm="17">
        <f>CUBEMEMBER("pbiazure://api.powerbi.com a17e9212-e5a8-47c6-999a-02ae22de8953 Model",{"[Accounts].[Type].&amp;[Expense]","[Accounts].[Name].&amp;[Payroll Tax Expense]"})</f>
        <v>Payroll Tax Expense</v>
      </c>
      <c r="C27" t="str" vm="806">
        <f>CUBEVALUE("pbiazure://api.powerbi.com a17e9212-e5a8-47c6-999a-02ae22de8953 Model",$C$2,$C$3,$C$4,$B27,C$8)</f>
        <v/>
      </c>
      <c r="D27" t="str" vm="632">
        <f>CUBEVALUE("pbiazure://api.powerbi.com a17e9212-e5a8-47c6-999a-02ae22de8953 Model",$C$2,$C$3,$C$4,$B27,D$8)</f>
        <v/>
      </c>
      <c r="E27" t="str" vm="701">
        <f>CUBEVALUE("pbiazure://api.powerbi.com a17e9212-e5a8-47c6-999a-02ae22de8953 Model",$C$2,$C$3,$C$4,$B27,E$8)</f>
        <v/>
      </c>
      <c r="F27" t="str" vm="580">
        <f>CUBEVALUE("pbiazure://api.powerbi.com a17e9212-e5a8-47c6-999a-02ae22de8953 Model",$C$2,$C$3,$C$4,$B27,F$8)</f>
        <v/>
      </c>
      <c r="G27" t="str" vm="612">
        <f>CUBEVALUE("pbiazure://api.powerbi.com a17e9212-e5a8-47c6-999a-02ae22de8953 Model",$C$2,$C$3,$C$4,$B27,G$8)</f>
        <v/>
      </c>
      <c r="H27" t="str" vm="610">
        <f>CUBEVALUE("pbiazure://api.powerbi.com a17e9212-e5a8-47c6-999a-02ae22de8953 Model",$C$2,$C$3,$C$4,$B27,H$8)</f>
        <v/>
      </c>
      <c r="I27" t="str" vm="593">
        <f>CUBEVALUE("pbiazure://api.powerbi.com a17e9212-e5a8-47c6-999a-02ae22de8953 Model",$C$2,$C$3,$C$4,$B27,I$8)</f>
        <v/>
      </c>
      <c r="J27" t="str" vm="670">
        <f>CUBEVALUE("pbiazure://api.powerbi.com a17e9212-e5a8-47c6-999a-02ae22de8953 Model",$C$2,$C$3,$C$4,$B27,J$8)</f>
        <v/>
      </c>
      <c r="K27" t="str" vm="645">
        <f>CUBEVALUE("pbiazure://api.powerbi.com a17e9212-e5a8-47c6-999a-02ae22de8953 Model",$C$2,$C$3,$C$4,$B27,K$8)</f>
        <v/>
      </c>
      <c r="L27" t="str" vm="623">
        <f>CUBEVALUE("pbiazure://api.powerbi.com a17e9212-e5a8-47c6-999a-02ae22de8953 Model",$C$2,$C$3,$C$4,$B27,L$8)</f>
        <v/>
      </c>
      <c r="M27" t="str" vm="604">
        <f>CUBEVALUE("pbiazure://api.powerbi.com a17e9212-e5a8-47c6-999a-02ae22de8953 Model",$C$2,$C$3,$C$4,$B27,M$8)</f>
        <v/>
      </c>
      <c r="N27" t="str" vm="916">
        <f>CUBEVALUE("pbiazure://api.powerbi.com a17e9212-e5a8-47c6-999a-02ae22de8953 Model",$C$2,$C$3,$C$4,$B27,N$8)</f>
        <v/>
      </c>
      <c r="O27" t="str" vm="747">
        <f>CUBEVALUE("pbiazure://api.powerbi.com a17e9212-e5a8-47c6-999a-02ae22de8953 Model",$C$2,$C$3,$C$4,$B27,O$8)</f>
        <v/>
      </c>
      <c r="P27" t="str" vm="944">
        <f>CUBEVALUE("pbiazure://api.powerbi.com a17e9212-e5a8-47c6-999a-02ae22de8953 Model",$C$2,$C$3,$C$4,$B27,P$8)</f>
        <v/>
      </c>
      <c r="Q27" t="str" vm="337">
        <f>CUBEVALUE("pbiazure://api.powerbi.com a17e9212-e5a8-47c6-999a-02ae22de8953 Model",$C$2,$C$3,$C$4,$B27,Q$8)</f>
        <v/>
      </c>
      <c r="R27" t="str" vm="338">
        <f>CUBEVALUE("pbiazure://api.powerbi.com a17e9212-e5a8-47c6-999a-02ae22de8953 Model",$C$2,$C$3,$C$4,$B27,R$8)</f>
        <v/>
      </c>
      <c r="S27" t="str" vm="339">
        <f>CUBEVALUE("pbiazure://api.powerbi.com a17e9212-e5a8-47c6-999a-02ae22de8953 Model",$C$2,$C$3,$C$4,$B27,S$8)</f>
        <v/>
      </c>
      <c r="T27" t="str" vm="340">
        <f>CUBEVALUE("pbiazure://api.powerbi.com a17e9212-e5a8-47c6-999a-02ae22de8953 Model",$C$2,$C$3,$C$4,$B27,T$8)</f>
        <v/>
      </c>
      <c r="U27" t="str" vm="341">
        <f>CUBEVALUE("pbiazure://api.powerbi.com a17e9212-e5a8-47c6-999a-02ae22de8953 Model",$C$2,$C$3,$C$4,$B27,U$8)</f>
        <v/>
      </c>
      <c r="V27" vm="342">
        <f>CUBEVALUE("pbiazure://api.powerbi.com a17e9212-e5a8-47c6-999a-02ae22de8953 Model",$C$2,$C$3,$C$4,$B27,V$8)</f>
        <v>-916.33864509000011</v>
      </c>
      <c r="W27" t="str" vm="343">
        <f>CUBEVALUE("pbiazure://api.powerbi.com a17e9212-e5a8-47c6-999a-02ae22de8953 Model",$C$2,$C$3,$C$4,$B27,W$8)</f>
        <v/>
      </c>
      <c r="X27" vm="344">
        <f>CUBEVALUE("pbiazure://api.powerbi.com a17e9212-e5a8-47c6-999a-02ae22de8953 Model",$C$2,$C$3,$C$4,$B27,X$8)</f>
        <v>-1018.1540501000002</v>
      </c>
      <c r="Y27" t="str" vm="345">
        <f>CUBEVALUE("pbiazure://api.powerbi.com a17e9212-e5a8-47c6-999a-02ae22de8953 Model",$C$2,$C$3,$C$4,$B27,Y$8)</f>
        <v/>
      </c>
      <c r="Z27" t="str" vm="346">
        <f>CUBEVALUE("pbiazure://api.powerbi.com a17e9212-e5a8-47c6-999a-02ae22de8953 Model",$C$2,$C$3,$C$4,$B27,Z$8)</f>
        <v/>
      </c>
      <c r="AA27" t="str" vm="533">
        <f>CUBEVALUE("pbiazure://api.powerbi.com a17e9212-e5a8-47c6-999a-02ae22de8953 Model",$C$2,$C$3,$C$4,$B27,AA$7)</f>
        <v/>
      </c>
      <c r="AB27" vm="435">
        <f>CUBEVALUE("pbiazure://api.powerbi.com a17e9212-e5a8-47c6-999a-02ae22de8953 Model",$C$2,$C$3,$C$4,$B27,AB$7)</f>
        <v>-1934.4926951900002</v>
      </c>
    </row>
    <row r="28" spans="2:28" x14ac:dyDescent="0.35">
      <c r="B28" s="3" t="str" vm="15">
        <f>CUBEMEMBER("pbiazure://api.powerbi.com a17e9212-e5a8-47c6-999a-02ae22de8953 Model",{"[Accounts].[Type].&amp;[Expense]","[Accounts].[Name].&amp;[Printing &amp; Stationery]"})</f>
        <v>Printing &amp; Stationery</v>
      </c>
      <c r="C28" t="str" vm="803">
        <f>CUBEVALUE("pbiazure://api.powerbi.com a17e9212-e5a8-47c6-999a-02ae22de8953 Model",$C$2,$C$3,$C$4,$B28,C$8)</f>
        <v/>
      </c>
      <c r="D28" t="str" vm="592">
        <f>CUBEVALUE("pbiazure://api.powerbi.com a17e9212-e5a8-47c6-999a-02ae22de8953 Model",$C$2,$C$3,$C$4,$B28,D$8)</f>
        <v/>
      </c>
      <c r="E28" t="str" vm="758">
        <f>CUBEVALUE("pbiazure://api.powerbi.com a17e9212-e5a8-47c6-999a-02ae22de8953 Model",$C$2,$C$3,$C$4,$B28,E$8)</f>
        <v/>
      </c>
      <c r="F28" t="str" vm="680">
        <f>CUBEVALUE("pbiazure://api.powerbi.com a17e9212-e5a8-47c6-999a-02ae22de8953 Model",$C$2,$C$3,$C$4,$B28,F$8)</f>
        <v/>
      </c>
      <c r="G28" t="str" vm="678">
        <f>CUBEVALUE("pbiazure://api.powerbi.com a17e9212-e5a8-47c6-999a-02ae22de8953 Model",$C$2,$C$3,$C$4,$B28,G$8)</f>
        <v/>
      </c>
      <c r="H28" t="str" vm="669">
        <f>CUBEVALUE("pbiazure://api.powerbi.com a17e9212-e5a8-47c6-999a-02ae22de8953 Model",$C$2,$C$3,$C$4,$B28,H$8)</f>
        <v/>
      </c>
      <c r="I28" t="str" vm="644">
        <f>CUBEVALUE("pbiazure://api.powerbi.com a17e9212-e5a8-47c6-999a-02ae22de8953 Model",$C$2,$C$3,$C$4,$B28,I$8)</f>
        <v/>
      </c>
      <c r="J28" t="str" vm="622">
        <f>CUBEVALUE("pbiazure://api.powerbi.com a17e9212-e5a8-47c6-999a-02ae22de8953 Model",$C$2,$C$3,$C$4,$B28,J$8)</f>
        <v/>
      </c>
      <c r="K28" t="str" vm="603">
        <f>CUBEVALUE("pbiazure://api.powerbi.com a17e9212-e5a8-47c6-999a-02ae22de8953 Model",$C$2,$C$3,$C$4,$B28,K$8)</f>
        <v/>
      </c>
      <c r="L28" t="str" vm="589">
        <f>CUBEVALUE("pbiazure://api.powerbi.com a17e9212-e5a8-47c6-999a-02ae22de8953 Model",$C$2,$C$3,$C$4,$B28,L$8)</f>
        <v/>
      </c>
      <c r="M28" t="str" vm="583">
        <f>CUBEVALUE("pbiazure://api.powerbi.com a17e9212-e5a8-47c6-999a-02ae22de8953 Model",$C$2,$C$3,$C$4,$B28,M$8)</f>
        <v/>
      </c>
      <c r="N28" t="str" vm="756">
        <f>CUBEVALUE("pbiazure://api.powerbi.com a17e9212-e5a8-47c6-999a-02ae22de8953 Model",$C$2,$C$3,$C$4,$B28,N$8)</f>
        <v/>
      </c>
      <c r="O28" t="str" vm="757">
        <f>CUBEVALUE("pbiazure://api.powerbi.com a17e9212-e5a8-47c6-999a-02ae22de8953 Model",$C$2,$C$3,$C$4,$B28,O$8)</f>
        <v/>
      </c>
      <c r="P28" t="str" vm="759">
        <f>CUBEVALUE("pbiazure://api.powerbi.com a17e9212-e5a8-47c6-999a-02ae22de8953 Model",$C$2,$C$3,$C$4,$B28,P$8)</f>
        <v/>
      </c>
      <c r="Q28" t="str" vm="347">
        <f>CUBEVALUE("pbiazure://api.powerbi.com a17e9212-e5a8-47c6-999a-02ae22de8953 Model",$C$2,$C$3,$C$4,$B28,Q$8)</f>
        <v/>
      </c>
      <c r="R28" vm="348">
        <f>CUBEVALUE("pbiazure://api.powerbi.com a17e9212-e5a8-47c6-999a-02ae22de8953 Model",$C$2,$C$3,$C$4,$B28,R$8)</f>
        <v>-20</v>
      </c>
      <c r="S28" t="str" vm="349">
        <f>CUBEVALUE("pbiazure://api.powerbi.com a17e9212-e5a8-47c6-999a-02ae22de8953 Model",$C$2,$C$3,$C$4,$B28,S$8)</f>
        <v/>
      </c>
      <c r="T28" t="str" vm="350">
        <f>CUBEVALUE("pbiazure://api.powerbi.com a17e9212-e5a8-47c6-999a-02ae22de8953 Model",$C$2,$C$3,$C$4,$B28,T$8)</f>
        <v/>
      </c>
      <c r="U28" vm="351">
        <f>CUBEVALUE("pbiazure://api.powerbi.com a17e9212-e5a8-47c6-999a-02ae22de8953 Model",$C$2,$C$3,$C$4,$B28,U$8)</f>
        <v>-28.816033000000001</v>
      </c>
      <c r="V28" vm="352">
        <f>CUBEVALUE("pbiazure://api.powerbi.com a17e9212-e5a8-47c6-999a-02ae22de8953 Model",$C$2,$C$3,$C$4,$B28,V$8)</f>
        <v>-81.79081556492001</v>
      </c>
      <c r="W28" vm="353">
        <f>CUBEVALUE("pbiazure://api.powerbi.com a17e9212-e5a8-47c6-999a-02ae22de8953 Model",$C$2,$C$3,$C$4,$B28,W$8)</f>
        <v>-102.06373600000001</v>
      </c>
      <c r="X28" vm="354">
        <f>CUBEVALUE("pbiazure://api.powerbi.com a17e9212-e5a8-47c6-999a-02ae22de8953 Model",$C$2,$C$3,$C$4,$B28,X$8)</f>
        <v>-145.30920852574502</v>
      </c>
      <c r="Y28" t="str" vm="355">
        <f>CUBEVALUE("pbiazure://api.powerbi.com a17e9212-e5a8-47c6-999a-02ae22de8953 Model",$C$2,$C$3,$C$4,$B28,Y$8)</f>
        <v/>
      </c>
      <c r="Z28" t="str" vm="356">
        <f>CUBEVALUE("pbiazure://api.powerbi.com a17e9212-e5a8-47c6-999a-02ae22de8953 Model",$C$2,$C$3,$C$4,$B28,Z$8)</f>
        <v/>
      </c>
      <c r="AA28" vm="420">
        <f>CUBEVALUE("pbiazure://api.powerbi.com a17e9212-e5a8-47c6-999a-02ae22de8953 Model",$C$2,$C$3,$C$4,$B28,AA$7)</f>
        <v>-130.87976900000001</v>
      </c>
      <c r="AB28" vm="488">
        <f>CUBEVALUE("pbiazure://api.powerbi.com a17e9212-e5a8-47c6-999a-02ae22de8953 Model",$C$2,$C$3,$C$4,$B28,AB$7)</f>
        <v>-247.10002409066504</v>
      </c>
    </row>
    <row r="29" spans="2:28" x14ac:dyDescent="0.35">
      <c r="B29" s="3" t="str" vm="13">
        <f>CUBEMEMBER("pbiazure://api.powerbi.com a17e9212-e5a8-47c6-999a-02ae22de8953 Model",{"[Accounts].[Type].&amp;[Expense]","[Accounts].[Name].&amp;[Rent]"})</f>
        <v>Rent</v>
      </c>
      <c r="C29" t="str" vm="807">
        <f>CUBEVALUE("pbiazure://api.powerbi.com a17e9212-e5a8-47c6-999a-02ae22de8953 Model",$C$2,$C$3,$C$4,$B29,C$8)</f>
        <v/>
      </c>
      <c r="D29" t="str" vm="595">
        <f>CUBEVALUE("pbiazure://api.powerbi.com a17e9212-e5a8-47c6-999a-02ae22de8953 Model",$C$2,$C$3,$C$4,$B29,D$8)</f>
        <v/>
      </c>
      <c r="E29" t="str" vm="653">
        <f>CUBEVALUE("pbiazure://api.powerbi.com a17e9212-e5a8-47c6-999a-02ae22de8953 Model",$C$2,$C$3,$C$4,$B29,E$8)</f>
        <v/>
      </c>
      <c r="F29" t="str" vm="668">
        <f>CUBEVALUE("pbiazure://api.powerbi.com a17e9212-e5a8-47c6-999a-02ae22de8953 Model",$C$2,$C$3,$C$4,$B29,F$8)</f>
        <v/>
      </c>
      <c r="G29" t="str" vm="643">
        <f>CUBEVALUE("pbiazure://api.powerbi.com a17e9212-e5a8-47c6-999a-02ae22de8953 Model",$C$2,$C$3,$C$4,$B29,G$8)</f>
        <v/>
      </c>
      <c r="H29" t="str" vm="621">
        <f>CUBEVALUE("pbiazure://api.powerbi.com a17e9212-e5a8-47c6-999a-02ae22de8953 Model",$C$2,$C$3,$C$4,$B29,H$8)</f>
        <v/>
      </c>
      <c r="I29" t="str" vm="602">
        <f>CUBEVALUE("pbiazure://api.powerbi.com a17e9212-e5a8-47c6-999a-02ae22de8953 Model",$C$2,$C$3,$C$4,$B29,I$8)</f>
        <v/>
      </c>
      <c r="J29" t="str" vm="588">
        <f>CUBEVALUE("pbiazure://api.powerbi.com a17e9212-e5a8-47c6-999a-02ae22de8953 Model",$C$2,$C$3,$C$4,$B29,J$8)</f>
        <v/>
      </c>
      <c r="K29" t="str" vm="582">
        <f>CUBEVALUE("pbiazure://api.powerbi.com a17e9212-e5a8-47c6-999a-02ae22de8953 Model",$C$2,$C$3,$C$4,$B29,K$8)</f>
        <v/>
      </c>
      <c r="L29" t="str" vm="753">
        <f>CUBEVALUE("pbiazure://api.powerbi.com a17e9212-e5a8-47c6-999a-02ae22de8953 Model",$C$2,$C$3,$C$4,$B29,L$8)</f>
        <v/>
      </c>
      <c r="M29" t="str" vm="754">
        <f>CUBEVALUE("pbiazure://api.powerbi.com a17e9212-e5a8-47c6-999a-02ae22de8953 Model",$C$2,$C$3,$C$4,$B29,M$8)</f>
        <v/>
      </c>
      <c r="N29" t="str" vm="755">
        <f>CUBEVALUE("pbiazure://api.powerbi.com a17e9212-e5a8-47c6-999a-02ae22de8953 Model",$C$2,$C$3,$C$4,$B29,N$8)</f>
        <v/>
      </c>
      <c r="O29" t="str" vm="951">
        <f>CUBEVALUE("pbiazure://api.powerbi.com a17e9212-e5a8-47c6-999a-02ae22de8953 Model",$C$2,$C$3,$C$4,$B29,O$8)</f>
        <v/>
      </c>
      <c r="P29" t="str" vm="939">
        <f>CUBEVALUE("pbiazure://api.powerbi.com a17e9212-e5a8-47c6-999a-02ae22de8953 Model",$C$2,$C$3,$C$4,$B29,P$8)</f>
        <v/>
      </c>
      <c r="Q29" t="str" vm="357">
        <f>CUBEVALUE("pbiazure://api.powerbi.com a17e9212-e5a8-47c6-999a-02ae22de8953 Model",$C$2,$C$3,$C$4,$B29,Q$8)</f>
        <v/>
      </c>
      <c r="R29" t="str" vm="358">
        <f>CUBEVALUE("pbiazure://api.powerbi.com a17e9212-e5a8-47c6-999a-02ae22de8953 Model",$C$2,$C$3,$C$4,$B29,R$8)</f>
        <v/>
      </c>
      <c r="S29" t="str" vm="359">
        <f>CUBEVALUE("pbiazure://api.powerbi.com a17e9212-e5a8-47c6-999a-02ae22de8953 Model",$C$2,$C$3,$C$4,$B29,S$8)</f>
        <v/>
      </c>
      <c r="T29" vm="360">
        <f>CUBEVALUE("pbiazure://api.powerbi.com a17e9212-e5a8-47c6-999a-02ae22de8953 Model",$C$2,$C$3,$C$4,$B29,T$8)</f>
        <v>-12036.3081002</v>
      </c>
      <c r="U29" vm="361">
        <f>CUBEVALUE("pbiazure://api.powerbi.com a17e9212-e5a8-47c6-999a-02ae22de8953 Model",$C$2,$C$3,$C$4,$B29,U$8)</f>
        <v>-1448.393947</v>
      </c>
      <c r="V29" vm="362">
        <f>CUBEVALUE("pbiazure://api.powerbi.com a17e9212-e5a8-47c6-999a-02ae22de8953 Model",$C$2,$C$3,$C$4,$B29,V$8)</f>
        <v>-3629.5414419000008</v>
      </c>
      <c r="W29" vm="363">
        <f>CUBEVALUE("pbiazure://api.powerbi.com a17e9212-e5a8-47c6-999a-02ae22de8953 Model",$C$2,$C$3,$C$4,$B29,W$8)</f>
        <v>-3063.9337340000002</v>
      </c>
      <c r="X29" vm="364">
        <f>CUBEVALUE("pbiazure://api.powerbi.com a17e9212-e5a8-47c6-999a-02ae22de8953 Model",$C$2,$C$3,$C$4,$B29,X$8)</f>
        <v>-4286.6657524900002</v>
      </c>
      <c r="Y29" vm="365">
        <f>CUBEVALUE("pbiazure://api.powerbi.com a17e9212-e5a8-47c6-999a-02ae22de8953 Model",$C$2,$C$3,$C$4,$B29,Y$8)</f>
        <v>0</v>
      </c>
      <c r="Z29" vm="366">
        <f>CUBEVALUE("pbiazure://api.powerbi.com a17e9212-e5a8-47c6-999a-02ae22de8953 Model",$C$2,$C$3,$C$4,$B29,Z$8)</f>
        <v>0</v>
      </c>
      <c r="AA29" vm="534">
        <f>CUBEVALUE("pbiazure://api.powerbi.com a17e9212-e5a8-47c6-999a-02ae22de8953 Model",$C$2,$C$3,$C$4,$B29,AA$7)</f>
        <v>-4512.3276810000007</v>
      </c>
      <c r="AB29" vm="417">
        <f>CUBEVALUE("pbiazure://api.powerbi.com a17e9212-e5a8-47c6-999a-02ae22de8953 Model",$C$2,$C$3,$C$4,$B29,AB$7)</f>
        <v>-19952.515294590001</v>
      </c>
    </row>
    <row r="30" spans="2:28" x14ac:dyDescent="0.35">
      <c r="B30" s="3" t="str" vm="11">
        <f>CUBEMEMBER("pbiazure://api.powerbi.com a17e9212-e5a8-47c6-999a-02ae22de8953 Model",{"[Accounts].[Type].&amp;[Expense]","[Accounts].[Name].&amp;[Repairs and Maintenance]"})</f>
        <v>Repairs and Maintenance</v>
      </c>
      <c r="C30" t="str" vm="886">
        <f>CUBEVALUE("pbiazure://api.powerbi.com a17e9212-e5a8-47c6-999a-02ae22de8953 Model",$C$2,$C$3,$C$4,$B30,C$8)</f>
        <v/>
      </c>
      <c r="D30" t="str" vm="881">
        <f>CUBEVALUE("pbiazure://api.powerbi.com a17e9212-e5a8-47c6-999a-02ae22de8953 Model",$C$2,$C$3,$C$4,$B30,D$8)</f>
        <v/>
      </c>
      <c r="E30" t="str" vm="882">
        <f>CUBEVALUE("pbiazure://api.powerbi.com a17e9212-e5a8-47c6-999a-02ae22de8953 Model",$C$2,$C$3,$C$4,$B30,E$8)</f>
        <v/>
      </c>
      <c r="F30" t="str" vm="885">
        <f>CUBEVALUE("pbiazure://api.powerbi.com a17e9212-e5a8-47c6-999a-02ae22de8953 Model",$C$2,$C$3,$C$4,$B30,F$8)</f>
        <v/>
      </c>
      <c r="G30" t="str" vm="887">
        <f>CUBEVALUE("pbiazure://api.powerbi.com a17e9212-e5a8-47c6-999a-02ae22de8953 Model",$C$2,$C$3,$C$4,$B30,G$8)</f>
        <v/>
      </c>
      <c r="H30" t="str" vm="888">
        <f>CUBEVALUE("pbiazure://api.powerbi.com a17e9212-e5a8-47c6-999a-02ae22de8953 Model",$C$2,$C$3,$C$4,$B30,H$8)</f>
        <v/>
      </c>
      <c r="I30" t="str" vm="889">
        <f>CUBEVALUE("pbiazure://api.powerbi.com a17e9212-e5a8-47c6-999a-02ae22de8953 Model",$C$2,$C$3,$C$4,$B30,I$8)</f>
        <v/>
      </c>
      <c r="J30" t="str" vm="890">
        <f>CUBEVALUE("pbiazure://api.powerbi.com a17e9212-e5a8-47c6-999a-02ae22de8953 Model",$C$2,$C$3,$C$4,$B30,J$8)</f>
        <v/>
      </c>
      <c r="K30" t="str" vm="891">
        <f>CUBEVALUE("pbiazure://api.powerbi.com a17e9212-e5a8-47c6-999a-02ae22de8953 Model",$C$2,$C$3,$C$4,$B30,K$8)</f>
        <v/>
      </c>
      <c r="L30" t="str" vm="892">
        <f>CUBEVALUE("pbiazure://api.powerbi.com a17e9212-e5a8-47c6-999a-02ae22de8953 Model",$C$2,$C$3,$C$4,$B30,L$8)</f>
        <v/>
      </c>
      <c r="M30" t="str" vm="696">
        <f>CUBEVALUE("pbiazure://api.powerbi.com a17e9212-e5a8-47c6-999a-02ae22de8953 Model",$C$2,$C$3,$C$4,$B30,M$8)</f>
        <v/>
      </c>
      <c r="N30" t="str" vm="883">
        <f>CUBEVALUE("pbiazure://api.powerbi.com a17e9212-e5a8-47c6-999a-02ae22de8953 Model",$C$2,$C$3,$C$4,$B30,N$8)</f>
        <v/>
      </c>
      <c r="O30" t="str" vm="743">
        <f>CUBEVALUE("pbiazure://api.powerbi.com a17e9212-e5a8-47c6-999a-02ae22de8953 Model",$C$2,$C$3,$C$4,$B30,O$8)</f>
        <v/>
      </c>
      <c r="P30" t="str" vm="884">
        <f>CUBEVALUE("pbiazure://api.powerbi.com a17e9212-e5a8-47c6-999a-02ae22de8953 Model",$C$2,$C$3,$C$4,$B30,P$8)</f>
        <v/>
      </c>
      <c r="Q30" t="str" vm="544">
        <f>CUBEVALUE("pbiazure://api.powerbi.com a17e9212-e5a8-47c6-999a-02ae22de8953 Model",$C$2,$C$3,$C$4,$B30,Q$8)</f>
        <v/>
      </c>
      <c r="R30" t="str" vm="550">
        <f>CUBEVALUE("pbiazure://api.powerbi.com a17e9212-e5a8-47c6-999a-02ae22de8953 Model",$C$2,$C$3,$C$4,$B30,R$8)</f>
        <v/>
      </c>
      <c r="S30" t="str" vm="461">
        <f>CUBEVALUE("pbiazure://api.powerbi.com a17e9212-e5a8-47c6-999a-02ae22de8953 Model",$C$2,$C$3,$C$4,$B30,S$8)</f>
        <v/>
      </c>
      <c r="T30" t="str" vm="452">
        <f>CUBEVALUE("pbiazure://api.powerbi.com a17e9212-e5a8-47c6-999a-02ae22de8953 Model",$C$2,$C$3,$C$4,$B30,T$8)</f>
        <v/>
      </c>
      <c r="U30" vm="545">
        <f>CUBEVALUE("pbiazure://api.powerbi.com a17e9212-e5a8-47c6-999a-02ae22de8953 Model",$C$2,$C$3,$C$4,$B30,U$8)</f>
        <v>-2432.3068739999999</v>
      </c>
      <c r="V30" vm="547">
        <f>CUBEVALUE("pbiazure://api.powerbi.com a17e9212-e5a8-47c6-999a-02ae22de8953 Model",$C$2,$C$3,$C$4,$B30,V$8)</f>
        <v>-2675.5375614</v>
      </c>
      <c r="W30" vm="434">
        <f>CUBEVALUE("pbiazure://api.powerbi.com a17e9212-e5a8-47c6-999a-02ae22de8953 Model",$C$2,$C$3,$C$4,$B30,W$8)</f>
        <v>-90.130561999999998</v>
      </c>
      <c r="X30" vm="546">
        <f>CUBEVALUE("pbiazure://api.powerbi.com a17e9212-e5a8-47c6-999a-02ae22de8953 Model",$C$2,$C$3,$C$4,$B30,X$8)</f>
        <v>-99.143618200000006</v>
      </c>
      <c r="Y30" t="str" vm="548">
        <f>CUBEVALUE("pbiazure://api.powerbi.com a17e9212-e5a8-47c6-999a-02ae22de8953 Model",$C$2,$C$3,$C$4,$B30,Y$8)</f>
        <v/>
      </c>
      <c r="Z30" t="str" vm="551">
        <f>CUBEVALUE("pbiazure://api.powerbi.com a17e9212-e5a8-47c6-999a-02ae22de8953 Model",$C$2,$C$3,$C$4,$B30,Z$8)</f>
        <v/>
      </c>
      <c r="AA30" vm="549">
        <f>CUBEVALUE("pbiazure://api.powerbi.com a17e9212-e5a8-47c6-999a-02ae22de8953 Model",$C$2,$C$3,$C$4,$B30,AA$7)</f>
        <v>-2522.4374359999997</v>
      </c>
      <c r="AB30" vm="543">
        <f>CUBEVALUE("pbiazure://api.powerbi.com a17e9212-e5a8-47c6-999a-02ae22de8953 Model",$C$2,$C$3,$C$4,$B30,AB$7)</f>
        <v>-2774.6811796000002</v>
      </c>
    </row>
    <row r="31" spans="2:28" x14ac:dyDescent="0.35">
      <c r="B31" s="3" t="str" vm="7">
        <f>CUBEMEMBER("pbiazure://api.powerbi.com a17e9212-e5a8-47c6-999a-02ae22de8953 Model",{"[Accounts].[Type].&amp;[Expense]","[Accounts].[Name].&amp;[Telephone &amp; Internet]"})</f>
        <v>Telephone &amp; Internet</v>
      </c>
      <c r="C31" t="str" vm="849">
        <f>CUBEVALUE("pbiazure://api.powerbi.com a17e9212-e5a8-47c6-999a-02ae22de8953 Model",$C$2,$C$3,$C$4,$B31,C$8)</f>
        <v/>
      </c>
      <c r="D31" t="str" vm="850">
        <f>CUBEVALUE("pbiazure://api.powerbi.com a17e9212-e5a8-47c6-999a-02ae22de8953 Model",$C$2,$C$3,$C$4,$B31,D$8)</f>
        <v/>
      </c>
      <c r="E31" t="str" vm="852">
        <f>CUBEVALUE("pbiazure://api.powerbi.com a17e9212-e5a8-47c6-999a-02ae22de8953 Model",$C$2,$C$3,$C$4,$B31,E$8)</f>
        <v/>
      </c>
      <c r="F31" t="str" vm="854">
        <f>CUBEVALUE("pbiazure://api.powerbi.com a17e9212-e5a8-47c6-999a-02ae22de8953 Model",$C$2,$C$3,$C$4,$B31,F$8)</f>
        <v/>
      </c>
      <c r="G31" t="str" vm="855">
        <f>CUBEVALUE("pbiazure://api.powerbi.com a17e9212-e5a8-47c6-999a-02ae22de8953 Model",$C$2,$C$3,$C$4,$B31,G$8)</f>
        <v/>
      </c>
      <c r="H31" t="str" vm="857">
        <f>CUBEVALUE("pbiazure://api.powerbi.com a17e9212-e5a8-47c6-999a-02ae22de8953 Model",$C$2,$C$3,$C$4,$B31,H$8)</f>
        <v/>
      </c>
      <c r="I31" t="str" vm="858">
        <f>CUBEVALUE("pbiazure://api.powerbi.com a17e9212-e5a8-47c6-999a-02ae22de8953 Model",$C$2,$C$3,$C$4,$B31,I$8)</f>
        <v/>
      </c>
      <c r="J31" t="str" vm="859">
        <f>CUBEVALUE("pbiazure://api.powerbi.com a17e9212-e5a8-47c6-999a-02ae22de8953 Model",$C$2,$C$3,$C$4,$B31,J$8)</f>
        <v/>
      </c>
      <c r="K31" t="str" vm="853">
        <f>CUBEVALUE("pbiazure://api.powerbi.com a17e9212-e5a8-47c6-999a-02ae22de8953 Model",$C$2,$C$3,$C$4,$B31,K$8)</f>
        <v/>
      </c>
      <c r="L31" t="str" vm="851">
        <f>CUBEVALUE("pbiazure://api.powerbi.com a17e9212-e5a8-47c6-999a-02ae22de8953 Model",$C$2,$C$3,$C$4,$B31,L$8)</f>
        <v/>
      </c>
      <c r="M31" t="str" vm="712">
        <f>CUBEVALUE("pbiazure://api.powerbi.com a17e9212-e5a8-47c6-999a-02ae22de8953 Model",$C$2,$C$3,$C$4,$B31,M$8)</f>
        <v/>
      </c>
      <c r="N31" t="str" vm="742">
        <f>CUBEVALUE("pbiazure://api.powerbi.com a17e9212-e5a8-47c6-999a-02ae22de8953 Model",$C$2,$C$3,$C$4,$B31,N$8)</f>
        <v/>
      </c>
      <c r="O31" t="str" vm="856">
        <f>CUBEVALUE("pbiazure://api.powerbi.com a17e9212-e5a8-47c6-999a-02ae22de8953 Model",$C$2,$C$3,$C$4,$B31,O$8)</f>
        <v/>
      </c>
      <c r="P31" t="str" vm="935">
        <f>CUBEVALUE("pbiazure://api.powerbi.com a17e9212-e5a8-47c6-999a-02ae22de8953 Model",$C$2,$C$3,$C$4,$B31,P$8)</f>
        <v/>
      </c>
      <c r="Q31" t="str" vm="460">
        <f>CUBEVALUE("pbiazure://api.powerbi.com a17e9212-e5a8-47c6-999a-02ae22de8953 Model",$C$2,$C$3,$C$4,$B31,Q$8)</f>
        <v/>
      </c>
      <c r="R31" t="str" vm="451">
        <f>CUBEVALUE("pbiazure://api.powerbi.com a17e9212-e5a8-47c6-999a-02ae22de8953 Model",$C$2,$C$3,$C$4,$B31,R$8)</f>
        <v/>
      </c>
      <c r="S31" t="str" vm="525">
        <f>CUBEVALUE("pbiazure://api.powerbi.com a17e9212-e5a8-47c6-999a-02ae22de8953 Model",$C$2,$C$3,$C$4,$B31,S$8)</f>
        <v/>
      </c>
      <c r="T31" t="str" vm="442">
        <f>CUBEVALUE("pbiazure://api.powerbi.com a17e9212-e5a8-47c6-999a-02ae22de8953 Model",$C$2,$C$3,$C$4,$B31,T$8)</f>
        <v/>
      </c>
      <c r="U31" vm="526">
        <f>CUBEVALUE("pbiazure://api.powerbi.com a17e9212-e5a8-47c6-999a-02ae22de8953 Model",$C$2,$C$3,$C$4,$B31,U$8)</f>
        <v>-55.083620000000003</v>
      </c>
      <c r="V31" vm="432">
        <f>CUBEVALUE("pbiazure://api.powerbi.com a17e9212-e5a8-47c6-999a-02ae22de8953 Model",$C$2,$C$3,$C$4,$B31,V$8)</f>
        <v>-60.591982000000009</v>
      </c>
      <c r="W31" vm="523">
        <f>CUBEVALUE("pbiazure://api.powerbi.com a17e9212-e5a8-47c6-999a-02ae22de8953 Model",$C$2,$C$3,$C$4,$B31,W$8)</f>
        <v>-60.718798</v>
      </c>
      <c r="X31" vm="430">
        <f>CUBEVALUE("pbiazure://api.powerbi.com a17e9212-e5a8-47c6-999a-02ae22de8953 Model",$C$2,$C$3,$C$4,$B31,X$8)</f>
        <v>-66.790677800000012</v>
      </c>
      <c r="Y31" vm="524">
        <f>CUBEVALUE("pbiazure://api.powerbi.com a17e9212-e5a8-47c6-999a-02ae22de8953 Model",$C$2,$C$3,$C$4,$B31,Y$8)</f>
        <v>-69.137168000000003</v>
      </c>
      <c r="Z31" vm="426">
        <f>CUBEVALUE("pbiazure://api.powerbi.com a17e9212-e5a8-47c6-999a-02ae22de8953 Model",$C$2,$C$3,$C$4,$B31,Z$8)</f>
        <v>-76.050884800000006</v>
      </c>
      <c r="AA31" vm="521">
        <f>CUBEVALUE("pbiazure://api.powerbi.com a17e9212-e5a8-47c6-999a-02ae22de8953 Model",$C$2,$C$3,$C$4,$B31,AA$7)</f>
        <v>-184.93958600000002</v>
      </c>
      <c r="AB31" vm="522">
        <f>CUBEVALUE("pbiazure://api.powerbi.com a17e9212-e5a8-47c6-999a-02ae22de8953 Model",$C$2,$C$3,$C$4,$B31,AB$7)</f>
        <v>-203.43354460000003</v>
      </c>
    </row>
    <row r="32" spans="2:28" x14ac:dyDescent="0.35">
      <c r="B32" s="3" t="str" vm="5">
        <f>CUBEMEMBER("pbiazure://api.powerbi.com a17e9212-e5a8-47c6-999a-02ae22de8953 Model",{"[Accounts].[Type].&amp;[Expense]","[Accounts].[Name].&amp;[Travel - National]"})</f>
        <v>Travel - National</v>
      </c>
      <c r="C32" t="str" vm="832">
        <f>CUBEVALUE("pbiazure://api.powerbi.com a17e9212-e5a8-47c6-999a-02ae22de8953 Model",$C$2,$C$3,$C$4,$B32,C$8)</f>
        <v/>
      </c>
      <c r="D32" t="str" vm="833">
        <f>CUBEVALUE("pbiazure://api.powerbi.com a17e9212-e5a8-47c6-999a-02ae22de8953 Model",$C$2,$C$3,$C$4,$B32,D$8)</f>
        <v/>
      </c>
      <c r="E32" t="str" vm="836">
        <f>CUBEVALUE("pbiazure://api.powerbi.com a17e9212-e5a8-47c6-999a-02ae22de8953 Model",$C$2,$C$3,$C$4,$B32,E$8)</f>
        <v/>
      </c>
      <c r="F32" t="str" vm="837">
        <f>CUBEVALUE("pbiazure://api.powerbi.com a17e9212-e5a8-47c6-999a-02ae22de8953 Model",$C$2,$C$3,$C$4,$B32,F$8)</f>
        <v/>
      </c>
      <c r="G32" t="str" vm="840">
        <f>CUBEVALUE("pbiazure://api.powerbi.com a17e9212-e5a8-47c6-999a-02ae22de8953 Model",$C$2,$C$3,$C$4,$B32,G$8)</f>
        <v/>
      </c>
      <c r="H32" t="str" vm="841">
        <f>CUBEVALUE("pbiazure://api.powerbi.com a17e9212-e5a8-47c6-999a-02ae22de8953 Model",$C$2,$C$3,$C$4,$B32,H$8)</f>
        <v/>
      </c>
      <c r="I32" t="str" vm="642">
        <f>CUBEVALUE("pbiazure://api.powerbi.com a17e9212-e5a8-47c6-999a-02ae22de8953 Model",$C$2,$C$3,$C$4,$B32,I$8)</f>
        <v/>
      </c>
      <c r="J32" t="str" vm="834">
        <f>CUBEVALUE("pbiazure://api.powerbi.com a17e9212-e5a8-47c6-999a-02ae22de8953 Model",$C$2,$C$3,$C$4,$B32,J$8)</f>
        <v/>
      </c>
      <c r="K32" t="str" vm="838">
        <f>CUBEVALUE("pbiazure://api.powerbi.com a17e9212-e5a8-47c6-999a-02ae22de8953 Model",$C$2,$C$3,$C$4,$B32,K$8)</f>
        <v/>
      </c>
      <c r="L32" t="str" vm="835">
        <f>CUBEVALUE("pbiazure://api.powerbi.com a17e9212-e5a8-47c6-999a-02ae22de8953 Model",$C$2,$C$3,$C$4,$B32,L$8)</f>
        <v/>
      </c>
      <c r="M32" t="str" vm="689">
        <f>CUBEVALUE("pbiazure://api.powerbi.com a17e9212-e5a8-47c6-999a-02ae22de8953 Model",$C$2,$C$3,$C$4,$B32,M$8)</f>
        <v/>
      </c>
      <c r="N32" t="str" vm="839">
        <f>CUBEVALUE("pbiazure://api.powerbi.com a17e9212-e5a8-47c6-999a-02ae22de8953 Model",$C$2,$C$3,$C$4,$B32,N$8)</f>
        <v/>
      </c>
      <c r="O32" t="str" vm="946">
        <f>CUBEVALUE("pbiazure://api.powerbi.com a17e9212-e5a8-47c6-999a-02ae22de8953 Model",$C$2,$C$3,$C$4,$B32,O$8)</f>
        <v/>
      </c>
      <c r="P32" t="str" vm="934">
        <f>CUBEVALUE("pbiazure://api.powerbi.com a17e9212-e5a8-47c6-999a-02ae22de8953 Model",$C$2,$C$3,$C$4,$B32,P$8)</f>
        <v/>
      </c>
      <c r="Q32" t="str" vm="443">
        <f>CUBEVALUE("pbiazure://api.powerbi.com a17e9212-e5a8-47c6-999a-02ae22de8953 Model",$C$2,$C$3,$C$4,$B32,Q$8)</f>
        <v/>
      </c>
      <c r="R32" t="str" vm="515">
        <f>CUBEVALUE("pbiazure://api.powerbi.com a17e9212-e5a8-47c6-999a-02ae22de8953 Model",$C$2,$C$3,$C$4,$B32,R$8)</f>
        <v/>
      </c>
      <c r="S32" t="str" vm="410">
        <f>CUBEVALUE("pbiazure://api.powerbi.com a17e9212-e5a8-47c6-999a-02ae22de8953 Model",$C$2,$C$3,$C$4,$B32,S$8)</f>
        <v/>
      </c>
      <c r="T32" t="str" vm="510">
        <f>CUBEVALUE("pbiazure://api.powerbi.com a17e9212-e5a8-47c6-999a-02ae22de8953 Model",$C$2,$C$3,$C$4,$B32,T$8)</f>
        <v/>
      </c>
      <c r="U32" vm="516">
        <f>CUBEVALUE("pbiazure://api.powerbi.com a17e9212-e5a8-47c6-999a-02ae22de8953 Model",$C$2,$C$3,$C$4,$B32,U$8)</f>
        <v>-42.792671999999996</v>
      </c>
      <c r="V32" vm="511">
        <f>CUBEVALUE("pbiazure://api.powerbi.com a17e9212-e5a8-47c6-999a-02ae22de8953 Model",$C$2,$C$3,$C$4,$B32,V$8)</f>
        <v>-47.071939200000003</v>
      </c>
      <c r="W32" t="str" vm="512">
        <f>CUBEVALUE("pbiazure://api.powerbi.com a17e9212-e5a8-47c6-999a-02ae22de8953 Model",$C$2,$C$3,$C$4,$B32,W$8)</f>
        <v/>
      </c>
      <c r="X32" t="str" vm="552">
        <f>CUBEVALUE("pbiazure://api.powerbi.com a17e9212-e5a8-47c6-999a-02ae22de8953 Model",$C$2,$C$3,$C$4,$B32,X$8)</f>
        <v/>
      </c>
      <c r="Y32" vm="527">
        <f>CUBEVALUE("pbiazure://api.powerbi.com a17e9212-e5a8-47c6-999a-02ae22de8953 Model",$C$2,$C$3,$C$4,$B32,Y$8)</f>
        <v>-309.12610599999999</v>
      </c>
      <c r="Z32" vm="509">
        <f>CUBEVALUE("pbiazure://api.powerbi.com a17e9212-e5a8-47c6-999a-02ae22de8953 Model",$C$2,$C$3,$C$4,$B32,Z$8)</f>
        <v>-340.03871660000004</v>
      </c>
      <c r="AA32" vm="513">
        <f>CUBEVALUE("pbiazure://api.powerbi.com a17e9212-e5a8-47c6-999a-02ae22de8953 Model",$C$2,$C$3,$C$4,$B32,AA$7)</f>
        <v>-351.91877799999997</v>
      </c>
      <c r="AB32" vm="514">
        <f>CUBEVALUE("pbiazure://api.powerbi.com a17e9212-e5a8-47c6-999a-02ae22de8953 Model",$C$2,$C$3,$C$4,$B32,AB$7)</f>
        <v>-387.11065580000002</v>
      </c>
    </row>
    <row r="33" spans="2:28" x14ac:dyDescent="0.35">
      <c r="B33" s="2" t="str" vm="35">
        <f>CUBEMEMBER("pbiazure://api.powerbi.com a17e9212-e5a8-47c6-999a-02ae22de8953 Model","[Accounts].[Type].&amp;[Overheads]")</f>
        <v>Overheads</v>
      </c>
      <c r="C33" vm="791">
        <f>CUBEVALUE("pbiazure://api.powerbi.com a17e9212-e5a8-47c6-999a-02ae22de8953 Model",$C$2,$C$3,$C$4,$B33,C$8)</f>
        <v>-163.109756</v>
      </c>
      <c r="D33" vm="789">
        <f>CUBEVALUE("pbiazure://api.powerbi.com a17e9212-e5a8-47c6-999a-02ae22de8953 Model",$C$2,$C$3,$C$4,$B33,D$8)</f>
        <v>-179.42073160000001</v>
      </c>
      <c r="E33" vm="792">
        <f>CUBEVALUE("pbiazure://api.powerbi.com a17e9212-e5a8-47c6-999a-02ae22de8953 Model",$C$2,$C$3,$C$4,$B33,E$8)</f>
        <v>-166.96186499999999</v>
      </c>
      <c r="F33" vm="793">
        <f>CUBEVALUE("pbiazure://api.powerbi.com a17e9212-e5a8-47c6-999a-02ae22de8953 Model",$C$2,$C$3,$C$4,$B33,F$8)</f>
        <v>-183.6580515</v>
      </c>
      <c r="G33" vm="788">
        <f>CUBEVALUE("pbiazure://api.powerbi.com a17e9212-e5a8-47c6-999a-02ae22de8953 Model",$C$2,$C$3,$C$4,$B33,G$8)</f>
        <v>-158.301716</v>
      </c>
      <c r="H33" vm="786">
        <f>CUBEVALUE("pbiazure://api.powerbi.com a17e9212-e5a8-47c6-999a-02ae22de8953 Model",$C$2,$C$3,$C$4,$B33,H$8)</f>
        <v>-174.1318876</v>
      </c>
      <c r="I33" vm="662">
        <f>CUBEVALUE("pbiazure://api.powerbi.com a17e9212-e5a8-47c6-999a-02ae22de8953 Model",$C$2,$C$3,$C$4,$B33,I$8)</f>
        <v>-152.03587400000001</v>
      </c>
      <c r="J33" vm="692">
        <f>CUBEVALUE("pbiazure://api.powerbi.com a17e9212-e5a8-47c6-999a-02ae22de8953 Model",$C$2,$C$3,$C$4,$B33,J$8)</f>
        <v>-150</v>
      </c>
      <c r="K33" vm="787">
        <f>CUBEVALUE("pbiazure://api.powerbi.com a17e9212-e5a8-47c6-999a-02ae22de8953 Model",$C$2,$C$3,$C$4,$B33,K$8)</f>
        <v>-159.43708599999999</v>
      </c>
      <c r="L33" vm="660">
        <f>CUBEVALUE("pbiazure://api.powerbi.com a17e9212-e5a8-47c6-999a-02ae22de8953 Model",$C$2,$C$3,$C$4,$B33,L$8)</f>
        <v>-200</v>
      </c>
      <c r="M33" vm="728">
        <f>CUBEVALUE("pbiazure://api.powerbi.com a17e9212-e5a8-47c6-999a-02ae22de8953 Model",$C$2,$C$3,$C$4,$B33,M$8)</f>
        <v>-168.883566</v>
      </c>
      <c r="N33" vm="715">
        <f>CUBEVALUE("pbiazure://api.powerbi.com a17e9212-e5a8-47c6-999a-02ae22de8953 Model",$C$2,$C$3,$C$4,$B33,N$8)</f>
        <v>-200</v>
      </c>
      <c r="O33" vm="790">
        <f>CUBEVALUE("pbiazure://api.powerbi.com a17e9212-e5a8-47c6-999a-02ae22de8953 Model",$C$2,$C$3,$C$4,$B33,O$8)</f>
        <v>-181.35529</v>
      </c>
      <c r="P33" vm="941">
        <f>CUBEVALUE("pbiazure://api.powerbi.com a17e9212-e5a8-47c6-999a-02ae22de8953 Model",$C$2,$C$3,$C$4,$B33,P$8)</f>
        <v>200</v>
      </c>
      <c r="Q33" vm="367">
        <f>CUBEVALUE("pbiazure://api.powerbi.com a17e9212-e5a8-47c6-999a-02ae22de8953 Model",$C$2,$C$3,$C$4,$B33,Q$8)</f>
        <v>-190.05472700000001</v>
      </c>
      <c r="R33" vm="368">
        <f>CUBEVALUE("pbiazure://api.powerbi.com a17e9212-e5a8-47c6-999a-02ae22de8953 Model",$C$2,$C$3,$C$4,$B33,R$8)</f>
        <v>-200</v>
      </c>
      <c r="S33" vm="369">
        <f>CUBEVALUE("pbiazure://api.powerbi.com a17e9212-e5a8-47c6-999a-02ae22de8953 Model",$C$2,$C$3,$C$4,$B33,S$8)</f>
        <v>-189.695156</v>
      </c>
      <c r="T33" vm="370">
        <f>CUBEVALUE("pbiazure://api.powerbi.com a17e9212-e5a8-47c6-999a-02ae22de8953 Model",$C$2,$C$3,$C$4,$B33,T$8)</f>
        <v>-208.66467160000002</v>
      </c>
      <c r="U33" vm="371">
        <f>CUBEVALUE("pbiazure://api.powerbi.com a17e9212-e5a8-47c6-999a-02ae22de8953 Model",$C$2,$C$3,$C$4,$B33,U$8)</f>
        <v>-2226.1769519999998</v>
      </c>
      <c r="V33" vm="372">
        <f>CUBEVALUE("pbiazure://api.powerbi.com a17e9212-e5a8-47c6-999a-02ae22de8953 Model",$C$2,$C$3,$C$4,$B33,V$8)</f>
        <v>-27870.194278199997</v>
      </c>
      <c r="W33" vm="373">
        <f>CUBEVALUE("pbiazure://api.powerbi.com a17e9212-e5a8-47c6-999a-02ae22de8953 Model",$C$2,$C$3,$C$4,$B33,W$8)</f>
        <v>-7085.1282930000007</v>
      </c>
      <c r="X33" vm="374">
        <f>CUBEVALUE("pbiazure://api.powerbi.com a17e9212-e5a8-47c6-999a-02ae22de8953 Model",$C$2,$C$3,$C$4,$B33,X$8)</f>
        <v>-7793.6411223000005</v>
      </c>
      <c r="Y33" vm="375">
        <f>CUBEVALUE("pbiazure://api.powerbi.com a17e9212-e5a8-47c6-999a-02ae22de8953 Model",$C$2,$C$3,$C$4,$B33,Y$8)</f>
        <v>-14949.127038000008</v>
      </c>
      <c r="Z33" vm="376">
        <f>CUBEVALUE("pbiazure://api.powerbi.com a17e9212-e5a8-47c6-999a-02ae22de8953 Model",$C$2,$C$3,$C$4,$B33,Z$8)</f>
        <v>-31725.904658799998</v>
      </c>
      <c r="AA33" vm="493">
        <f>CUBEVALUE("pbiazure://api.powerbi.com a17e9212-e5a8-47c6-999a-02ae22de8953 Model",$C$2,$C$3,$C$4,$B33,AA$7)</f>
        <v>-25790.267318999991</v>
      </c>
      <c r="AB33" vm="494">
        <f>CUBEVALUE("pbiazure://api.powerbi.com a17e9212-e5a8-47c6-999a-02ae22de8953 Model",$C$2,$C$3,$C$4,$B33,AB$7)</f>
        <v>-68685.615401600022</v>
      </c>
    </row>
    <row r="34" spans="2:28" x14ac:dyDescent="0.35">
      <c r="B34" s="2" t="str" vm="27">
        <f>CUBEMEMBER("pbiazure://api.powerbi.com a17e9212-e5a8-47c6-999a-02ae22de8953 Model","[Accounts].[Type].[All]","EBIT")</f>
        <v>EBIT</v>
      </c>
      <c r="C34" vm="774">
        <f>CUBEVALUE("pbiazure://api.powerbi.com a17e9212-e5a8-47c6-999a-02ae22de8953 Model",$C$2,$C$3,$C$4,$B34,C$8)</f>
        <v>584.14634099999989</v>
      </c>
      <c r="D34" vm="776">
        <f>CUBEVALUE("pbiazure://api.powerbi.com a17e9212-e5a8-47c6-999a-02ae22de8953 Model",$C$2,$C$3,$C$4,$B34,D$8)</f>
        <v>642.56097509999995</v>
      </c>
      <c r="E34" vm="772">
        <f>CUBEVALUE("pbiazure://api.powerbi.com a17e9212-e5a8-47c6-999a-02ae22de8953 Model",$C$2,$C$3,$C$4,$B34,E$8)</f>
        <v>586.10157200000003</v>
      </c>
      <c r="F34" vm="695">
        <f>CUBEVALUE("pbiazure://api.powerbi.com a17e9212-e5a8-47c6-999a-02ae22de8953 Model",$C$2,$C$3,$C$4,$B34,F$8)</f>
        <v>1623.6797380648409</v>
      </c>
      <c r="G34" vm="639">
        <f>CUBEVALUE("pbiazure://api.powerbi.com a17e9212-e5a8-47c6-999a-02ae22de8953 Model",$C$2,$C$3,$C$4,$B34,G$8)</f>
        <v>594.48961099999997</v>
      </c>
      <c r="H34" vm="710">
        <f>CUBEVALUE("pbiazure://api.powerbi.com a17e9212-e5a8-47c6-999a-02ae22de8953 Model",$C$2,$C$3,$C$4,$B34,H$8)</f>
        <v>578.6594394</v>
      </c>
      <c r="I34" vm="636">
        <f>CUBEVALUE("pbiazure://api.powerbi.com a17e9212-e5a8-47c6-999a-02ae22de8953 Model",$C$2,$C$3,$C$4,$B34,I$8)</f>
        <v>1342.7443939999998</v>
      </c>
      <c r="J34" vm="618">
        <f>CUBEVALUE("pbiazure://api.powerbi.com a17e9212-e5a8-47c6-999a-02ae22de8953 Model",$C$2,$C$3,$C$4,$B34,J$8)</f>
        <v>1250</v>
      </c>
      <c r="K34" vm="727">
        <f>CUBEVALUE("pbiazure://api.powerbi.com a17e9212-e5a8-47c6-999a-02ae22de8953 Model",$C$2,$C$3,$C$4,$B34,K$8)</f>
        <v>607.06401699999992</v>
      </c>
      <c r="L34" vm="714">
        <f>CUBEVALUE("pbiazure://api.powerbi.com a17e9212-e5a8-47c6-999a-02ae22de8953 Model",$C$2,$C$3,$C$4,$B34,L$8)</f>
        <v>600</v>
      </c>
      <c r="M34" vm="687">
        <f>CUBEVALUE("pbiazure://api.powerbi.com a17e9212-e5a8-47c6-999a-02ae22de8953 Model",$C$2,$C$3,$C$4,$B34,M$8)</f>
        <v>598.74723700000004</v>
      </c>
      <c r="N34" vm="773">
        <f>CUBEVALUE("pbiazure://api.powerbi.com a17e9212-e5a8-47c6-999a-02ae22de8953 Model",$C$2,$C$3,$C$4,$B34,N$8)</f>
        <v>400</v>
      </c>
      <c r="O34" vm="775">
        <f>CUBEVALUE("pbiazure://api.powerbi.com a17e9212-e5a8-47c6-999a-02ae22de8953 Model",$C$2,$C$3,$C$4,$B34,O$8)</f>
        <v>2184.7245879999996</v>
      </c>
      <c r="P34" vm="936">
        <f>CUBEVALUE("pbiazure://api.powerbi.com a17e9212-e5a8-47c6-999a-02ae22de8953 Model",$C$2,$C$3,$C$4,$B34,P$8)</f>
        <v>2200</v>
      </c>
      <c r="Q34" vm="377">
        <f>CUBEVALUE("pbiazure://api.powerbi.com a17e9212-e5a8-47c6-999a-02ae22de8953 Model",$C$2,$C$3,$C$4,$B34,Q$8)</f>
        <v>596.26344599999993</v>
      </c>
      <c r="R34" vm="378">
        <f>CUBEVALUE("pbiazure://api.powerbi.com a17e9212-e5a8-47c6-999a-02ae22de8953 Model",$C$2,$C$3,$C$4,$B34,R$8)</f>
        <v>-1520</v>
      </c>
      <c r="S34" vm="379">
        <f>CUBEVALUE("pbiazure://api.powerbi.com a17e9212-e5a8-47c6-999a-02ae22de8953 Model",$C$2,$C$3,$C$4,$B34,S$8)</f>
        <v>1659.6210719999999</v>
      </c>
      <c r="T34" vm="380">
        <f>CUBEVALUE("pbiazure://api.powerbi.com a17e9212-e5a8-47c6-999a-02ae22de8953 Model",$C$2,$C$3,$C$4,$B34,T$8)</f>
        <v>-10576.737162207581</v>
      </c>
      <c r="U34" vm="381">
        <f>CUBEVALUE("pbiazure://api.powerbi.com a17e9212-e5a8-47c6-999a-02ae22de8953 Model",$C$2,$C$3,$C$4,$B34,U$8)</f>
        <v>14537.607884000003</v>
      </c>
      <c r="V34" vm="382">
        <f>CUBEVALUE("pbiazure://api.powerbi.com a17e9212-e5a8-47c6-999a-02ae22de8953 Model",$C$2,$C$3,$C$4,$B34,V$8)</f>
        <v>-16478.633573770239</v>
      </c>
      <c r="W34" vm="383">
        <f>CUBEVALUE("pbiazure://api.powerbi.com a17e9212-e5a8-47c6-999a-02ae22de8953 Model",$C$2,$C$3,$C$4,$B34,W$8)</f>
        <v>-7495.4589579999883</v>
      </c>
      <c r="X34" vm="384">
        <f>CUBEVALUE("pbiazure://api.powerbi.com a17e9212-e5a8-47c6-999a-02ae22de8953 Model",$C$2,$C$3,$C$4,$B34,X$8)</f>
        <v>-6038.0443416191292</v>
      </c>
      <c r="Y34" vm="385">
        <f>CUBEVALUE("pbiazure://api.powerbi.com a17e9212-e5a8-47c6-999a-02ae22de8953 Model",$C$2,$C$3,$C$4,$B34,Y$8)</f>
        <v>4259.2535739999958</v>
      </c>
      <c r="Z34" vm="386">
        <f>CUBEVALUE("pbiazure://api.powerbi.com a17e9212-e5a8-47c6-999a-02ae22de8953 Model",$C$2,$C$3,$C$4,$B34,Z$8)</f>
        <v>-10596.685985599999</v>
      </c>
      <c r="AA34" vm="485">
        <f>CUBEVALUE("pbiazure://api.powerbi.com a17e9212-e5a8-47c6-999a-02ae22de8953 Model",$C$2,$C$3,$C$4,$B34,AA$7)</f>
        <v>20055.304778000012</v>
      </c>
      <c r="AB34" vm="486">
        <f>CUBEVALUE("pbiazure://api.powerbi.com a17e9212-e5a8-47c6-999a-02ae22de8953 Model",$C$2,$C$3,$C$4,$B34,AB$7)</f>
        <v>-37915.200910632113</v>
      </c>
    </row>
  </sheetData>
  <pageMargins left="0" right="0" top="0" bottom="0" header="0" footer="0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B23"/>
  <sheetViews>
    <sheetView showGridLines="0" zoomScaleNormal="100" zoomScaleSheetLayoutView="100" workbookViewId="0">
      <selection activeCell="F37" sqref="F37"/>
    </sheetView>
  </sheetViews>
  <sheetFormatPr defaultRowHeight="14.5" outlineLevelCol="1" x14ac:dyDescent="0.35"/>
  <cols>
    <col min="2" max="2" width="22.6328125" bestFit="1" customWidth="1"/>
    <col min="3" max="4" width="7.453125" bestFit="1" customWidth="1"/>
    <col min="5" max="5" width="6.90625" bestFit="1" customWidth="1"/>
    <col min="6" max="7" width="7.453125" bestFit="1" customWidth="1"/>
    <col min="8" max="8" width="7.90625" bestFit="1" customWidth="1"/>
    <col min="9" max="10" width="7.453125" bestFit="1" customWidth="1"/>
    <col min="11" max="11" width="7.90625" bestFit="1" customWidth="1"/>
    <col min="12" max="13" width="7.453125" bestFit="1" customWidth="1"/>
    <col min="14" max="14" width="7.54296875" bestFit="1" customWidth="1"/>
    <col min="15" max="16" width="7.453125" bestFit="1" customWidth="1"/>
    <col min="17" max="17" width="7.90625" bestFit="1" customWidth="1"/>
    <col min="18" max="18" width="8.81640625" bestFit="1" customWidth="1"/>
    <col min="19" max="19" width="9.1796875" bestFit="1" customWidth="1"/>
    <col min="20" max="20" width="9.453125" bestFit="1" customWidth="1"/>
    <col min="21" max="21" width="5.81640625" customWidth="1"/>
    <col min="22" max="22" width="5.26953125" customWidth="1"/>
    <col min="23" max="24" width="9.81640625" hidden="1" customWidth="1" outlineLevel="1"/>
    <col min="25" max="25" width="11.81640625" hidden="1" customWidth="1" outlineLevel="1"/>
    <col min="26" max="27" width="12.90625" hidden="1" customWidth="1" outlineLevel="1"/>
    <col min="28" max="28" width="6.36328125" customWidth="1" collapsed="1"/>
    <col min="29" max="29" width="10.6328125" bestFit="1" customWidth="1"/>
    <col min="31" max="34" width="9.26953125" bestFit="1" customWidth="1"/>
    <col min="35" max="35" width="8.26953125" bestFit="1" customWidth="1"/>
    <col min="36" max="37" width="9.26953125" bestFit="1" customWidth="1"/>
    <col min="38" max="38" width="8.26953125" bestFit="1" customWidth="1"/>
    <col min="39" max="39" width="9.26953125" bestFit="1" customWidth="1"/>
    <col min="40" max="46" width="7.7265625" bestFit="1" customWidth="1"/>
    <col min="47" max="47" width="8.26953125" bestFit="1" customWidth="1"/>
    <col min="48" max="52" width="9.26953125" bestFit="1" customWidth="1"/>
    <col min="53" max="53" width="7.7265625" bestFit="1" customWidth="1"/>
    <col min="54" max="54" width="9.26953125" bestFit="1" customWidth="1"/>
    <col min="55" max="55" width="8.6328125" bestFit="1" customWidth="1"/>
    <col min="56" max="57" width="9.26953125" bestFit="1" customWidth="1"/>
    <col min="58" max="58" width="12.6328125" bestFit="1" customWidth="1"/>
    <col min="59" max="59" width="10.26953125" bestFit="1" customWidth="1"/>
  </cols>
  <sheetData>
    <row r="2" spans="2:27" x14ac:dyDescent="0.35">
      <c r="B2" s="1" t="s">
        <v>34</v>
      </c>
      <c r="C2" t="s" vm="1">
        <v>36</v>
      </c>
    </row>
    <row r="3" spans="2:27" x14ac:dyDescent="0.35">
      <c r="B3" s="1" t="s">
        <v>38</v>
      </c>
      <c r="C3" t="s" vm="2">
        <v>35</v>
      </c>
    </row>
    <row r="4" spans="2:27" x14ac:dyDescent="0.35">
      <c r="B4" s="1" t="s">
        <v>45</v>
      </c>
      <c r="C4" t="s" vm="69">
        <v>46</v>
      </c>
    </row>
    <row r="6" spans="2:27" ht="21.75" customHeight="1" x14ac:dyDescent="0.35"/>
    <row r="7" spans="2:27" ht="17.25" customHeight="1" x14ac:dyDescent="0.35">
      <c r="C7" s="27" t="str" vm="74">
        <f>CUBEMEMBER("pbiazure://api.powerbi.com a17e9212-e5a8-47c6-999a-02ae22de8953 Model","[Calendar].[Year_Month].&amp;["&amp;C4&amp;"-08-01T00:00:00]")</f>
        <v>2021-08</v>
      </c>
      <c r="D7" s="27" t="str" vm="74">
        <f>C7</f>
        <v>2021-08</v>
      </c>
      <c r="E7" s="27"/>
      <c r="F7" s="27" t="str" vm="73">
        <f>CUBEMEMBER("pbiazure://api.powerbi.com a17e9212-e5a8-47c6-999a-02ae22de8953 Model","[Calendar].[Year_Month].&amp;["&amp;C4&amp;"-09-01T00:00:00]")</f>
        <v>2021-09</v>
      </c>
      <c r="G7" s="27" t="str" vm="73">
        <f>F7</f>
        <v>2021-09</v>
      </c>
      <c r="H7" s="27"/>
      <c r="I7" s="27" t="str" vm="72">
        <f>CUBEMEMBER("pbiazure://api.powerbi.com a17e9212-e5a8-47c6-999a-02ae22de8953 Model","[Calendar].[Year_Month].&amp;["&amp;C4&amp;"-10-01T00:00:00]")</f>
        <v>2021-10</v>
      </c>
      <c r="J7" s="27" t="str" vm="72">
        <f>CUBEMEMBER("pbiazure://api.powerbi.com a17e9212-e5a8-47c6-999a-02ae22de8953 Model","[Calendar].[Year_Month].&amp;["&amp;C4&amp;"-10-01T00:00:00]")</f>
        <v>2021-10</v>
      </c>
      <c r="K7" s="27"/>
      <c r="L7" s="27" t="str" vm="71">
        <f>CUBEMEMBER("pbiazure://api.powerbi.com a17e9212-e5a8-47c6-999a-02ae22de8953 Model","[Calendar].[Year_Month].&amp;["&amp;$C$4&amp;"-11-01T00:00:00]")</f>
        <v>2021-11</v>
      </c>
      <c r="M7" s="27" t="str" vm="71">
        <f>L7</f>
        <v>2021-11</v>
      </c>
      <c r="N7" s="27"/>
      <c r="O7" s="27" t="str" vm="70">
        <f>CUBEMEMBER("pbiazure://api.powerbi.com a17e9212-e5a8-47c6-999a-02ae22de8953 Model","[Calendar].[Year_Month].&amp;["&amp;$C$4&amp;"-12-01T00:00:00]")</f>
        <v>2021-12</v>
      </c>
      <c r="P7" s="27" t="str" vm="70">
        <f>CUBEMEMBER("pbiazure://api.powerbi.com a17e9212-e5a8-47c6-999a-02ae22de8953 Model","[Calendar].[Year_Month].&amp;["&amp;$C$4&amp;"-12-01T00:00:00]")</f>
        <v>2021-12</v>
      </c>
      <c r="Q7" s="27"/>
      <c r="R7" s="27" t="str" vm="32">
        <f>CUBEMEMBER("pbiazure://api.powerbi.com a17e9212-e5a8-47c6-999a-02ae22de8953 Model","[Measures].[ACT]","Total ACT")</f>
        <v>Total ACT</v>
      </c>
      <c r="S7" s="27" t="str" vm="29">
        <f>CUBEMEMBER("pbiazure://api.powerbi.com a17e9212-e5a8-47c6-999a-02ae22de8953 Model","[Measures].[BUD]","Total BUD")</f>
        <v>Total BUD</v>
      </c>
    </row>
    <row r="8" spans="2:27" ht="17.25" customHeight="1" x14ac:dyDescent="0.35">
      <c r="C8" s="27" t="str" vm="32">
        <f>CUBEMEMBER("pbiazure://api.powerbi.com a17e9212-e5a8-47c6-999a-02ae22de8953 Model","[Measures].[ACT]")</f>
        <v>ACT</v>
      </c>
      <c r="D8" s="27" t="str" vm="29">
        <f>CUBEMEMBER("pbiazure://api.powerbi.com a17e9212-e5a8-47c6-999a-02ae22de8953 Model","[Measures].[BUD]")</f>
        <v>BUD</v>
      </c>
      <c r="E8" s="27" t="s">
        <v>39</v>
      </c>
      <c r="F8" s="27" t="str" vm="32">
        <f>CUBEMEMBER("pbiazure://api.powerbi.com a17e9212-e5a8-47c6-999a-02ae22de8953 Model","[Measures].[ACT]")</f>
        <v>ACT</v>
      </c>
      <c r="G8" s="27" t="str" vm="29">
        <f>CUBEMEMBER("pbiazure://api.powerbi.com a17e9212-e5a8-47c6-999a-02ae22de8953 Model","[Measures].[BUD]")</f>
        <v>BUD</v>
      </c>
      <c r="H8" s="27" t="s">
        <v>39</v>
      </c>
      <c r="I8" s="27" t="str" vm="32">
        <f>CUBEMEMBER("pbiazure://api.powerbi.com a17e9212-e5a8-47c6-999a-02ae22de8953 Model","[Measures].[ACT]")</f>
        <v>ACT</v>
      </c>
      <c r="J8" s="27" t="str" vm="29">
        <f>CUBEMEMBER("pbiazure://api.powerbi.com a17e9212-e5a8-47c6-999a-02ae22de8953 Model","[Measures].[BUD]")</f>
        <v>BUD</v>
      </c>
      <c r="K8" s="27" t="s">
        <v>39</v>
      </c>
      <c r="L8" s="27" t="str" vm="32">
        <f>CUBEMEMBER("pbiazure://api.powerbi.com a17e9212-e5a8-47c6-999a-02ae22de8953 Model","[Measures].[ACT]")</f>
        <v>ACT</v>
      </c>
      <c r="M8" s="27" t="str" vm="29">
        <f>CUBEMEMBER("pbiazure://api.powerbi.com a17e9212-e5a8-47c6-999a-02ae22de8953 Model","[Measures].[BUD]")</f>
        <v>BUD</v>
      </c>
      <c r="N8" s="27" t="s">
        <v>39</v>
      </c>
      <c r="O8" s="27" t="str" vm="32">
        <f>CUBEMEMBER("pbiazure://api.powerbi.com a17e9212-e5a8-47c6-999a-02ae22de8953 Model","[Measures].[ACT]")</f>
        <v>ACT</v>
      </c>
      <c r="P8" s="27" t="str" vm="29">
        <f>CUBEMEMBER("pbiazure://api.powerbi.com a17e9212-e5a8-47c6-999a-02ae22de8953 Model","[Measures].[BUD]")</f>
        <v>BUD</v>
      </c>
      <c r="Q8" s="27" t="s">
        <v>39</v>
      </c>
      <c r="R8" s="27"/>
      <c r="S8" s="27"/>
      <c r="T8" s="27" t="s">
        <v>47</v>
      </c>
    </row>
    <row r="9" spans="2:27" s="23" customFormat="1" ht="24" customHeight="1" x14ac:dyDescent="0.35">
      <c r="B9" s="22" t="str" vm="26">
        <f>CUBEMEMBER("pbiazure://api.powerbi.com a17e9212-e5a8-47c6-999a-02ae22de8953 Model","[Accounts].[Type].&amp;[Revenue]")</f>
        <v>Revenue</v>
      </c>
      <c r="C9" s="28" vm="75">
        <f>CUBEVALUE("pbiazure://api.powerbi.com a17e9212-e5a8-47c6-999a-02ae22de8953 Model",$C$2,$C$3,$C$4,$B9,C$8,C$7)</f>
        <v>786.318173</v>
      </c>
      <c r="D9" s="28" vm="173">
        <f t="shared" ref="D9:P22" si="0">CUBEVALUE("pbiazure://api.powerbi.com a17e9212-e5a8-47c6-999a-02ae22de8953 Model",$C$2,$C$3,$C$4,$B9,D$8,D$7)</f>
        <v>700</v>
      </c>
      <c r="E9" s="29">
        <f>N(C9)-N(D9)</f>
        <v>86.318173000000002</v>
      </c>
      <c r="F9" s="28" vm="146">
        <f t="shared" si="0"/>
        <v>1870.207592</v>
      </c>
      <c r="G9" s="28" vm="187">
        <f t="shared" si="0"/>
        <v>1870.207592</v>
      </c>
      <c r="H9" s="29">
        <f>N(F9)-N(G9)</f>
        <v>0</v>
      </c>
      <c r="I9" s="28" vm="132">
        <f t="shared" si="0"/>
        <v>24644.658199999998</v>
      </c>
      <c r="J9" s="28" vm="118">
        <f t="shared" si="0"/>
        <v>24644.658200000002</v>
      </c>
      <c r="K9" s="29">
        <f>N(I9)-N(J9)</f>
        <v>0</v>
      </c>
      <c r="L9" s="28" vm="104">
        <f t="shared" si="0"/>
        <v>16576.177817000003</v>
      </c>
      <c r="M9" s="28" vm="201">
        <f t="shared" si="0"/>
        <v>23511.865079900002</v>
      </c>
      <c r="N9" s="29">
        <f>N(L9)-N(M9)</f>
        <v>-6935.687262899999</v>
      </c>
      <c r="O9" s="28" vm="90">
        <f t="shared" si="0"/>
        <v>24069.565666999999</v>
      </c>
      <c r="P9" s="28" vm="76">
        <f t="shared" si="0"/>
        <v>26476.522233700001</v>
      </c>
      <c r="Q9" s="29">
        <f>N(O9)-N(P9)</f>
        <v>-2406.9565667000024</v>
      </c>
      <c r="R9" s="29">
        <f t="shared" ref="R9:R22" si="1">N(C9)+N(F9)+N(I9)+N(L9)+N(O9)</f>
        <v>67946.927448999995</v>
      </c>
      <c r="S9" s="29">
        <f t="shared" ref="S9:S21" si="2">N(D9)+N(G9)+N(J9)+N(M9)+N(P9)</f>
        <v>77203.253105600001</v>
      </c>
      <c r="W9" s="23" vm="75">
        <f>C9</f>
        <v>786.318173</v>
      </c>
      <c r="X9" s="23" vm="146">
        <f>F9</f>
        <v>1870.207592</v>
      </c>
      <c r="Y9" s="23" vm="132">
        <f>I9</f>
        <v>24644.658199999998</v>
      </c>
      <c r="Z9" s="23" vm="104">
        <f>L9</f>
        <v>16576.177817000003</v>
      </c>
      <c r="AA9" s="23" vm="90">
        <f>O9</f>
        <v>24069.565666999999</v>
      </c>
    </row>
    <row r="10" spans="2:27" ht="24" customHeight="1" x14ac:dyDescent="0.35">
      <c r="B10" s="21" t="str" vm="24">
        <f>CUBEMEMBER("pbiazure://api.powerbi.com a17e9212-e5a8-47c6-999a-02ae22de8953 Model",{"[Accounts].[Type].&amp;[Revenue]","[Accounts].[Name].&amp;[Other Revenue]"})</f>
        <v>Other Revenue</v>
      </c>
      <c r="C10" s="30" t="str" vm="172">
        <f t="shared" ref="C10:C22" si="3">CUBEVALUE("pbiazure://api.powerbi.com a17e9212-e5a8-47c6-999a-02ae22de8953 Model",$C$2,$C$3,$C$4,$B10,C$8,C$7)</f>
        <v/>
      </c>
      <c r="D10" s="30" t="str" vm="184">
        <f t="shared" si="0"/>
        <v/>
      </c>
      <c r="E10" s="31">
        <f t="shared" ref="E10:E22" si="4">N(C10)-N(D10)</f>
        <v>0</v>
      </c>
      <c r="F10" s="30" t="str" vm="153">
        <f t="shared" si="0"/>
        <v/>
      </c>
      <c r="G10" s="30" t="str" vm="193">
        <f t="shared" si="0"/>
        <v/>
      </c>
      <c r="H10" s="31">
        <f t="shared" ref="H10:H22" si="5">N(F10)-N(G10)</f>
        <v>0</v>
      </c>
      <c r="I10" s="30" t="str" vm="137">
        <f t="shared" si="0"/>
        <v/>
      </c>
      <c r="J10" s="30" t="str" vm="122">
        <f t="shared" si="0"/>
        <v/>
      </c>
      <c r="K10" s="31">
        <f t="shared" ref="K10:K22" si="6">N(I10)-N(J10)</f>
        <v>0</v>
      </c>
      <c r="L10" s="30" t="str" vm="105">
        <f t="shared" si="0"/>
        <v/>
      </c>
      <c r="M10" s="30" t="str" vm="202">
        <f t="shared" si="0"/>
        <v/>
      </c>
      <c r="N10" s="31">
        <f t="shared" ref="N10:N22" si="7">N(L10)-N(M10)</f>
        <v>0</v>
      </c>
      <c r="O10" s="30" t="str" vm="98">
        <f t="shared" si="0"/>
        <v/>
      </c>
      <c r="P10" s="30" t="str" vm="89">
        <f t="shared" si="0"/>
        <v/>
      </c>
      <c r="Q10" s="31">
        <f t="shared" ref="Q10:Q22" si="8">N(O10)-N(P10)</f>
        <v>0</v>
      </c>
      <c r="R10" s="32">
        <f t="shared" si="1"/>
        <v>0</v>
      </c>
      <c r="S10" s="32">
        <f t="shared" si="2"/>
        <v>0</v>
      </c>
      <c r="T10" s="20"/>
      <c r="W10" t="str" vm="172">
        <f t="shared" ref="W10:W22" si="9">C10</f>
        <v/>
      </c>
      <c r="X10" t="str" vm="153">
        <f t="shared" ref="X10:X22" si="10">F10</f>
        <v/>
      </c>
      <c r="Y10" t="str" vm="137">
        <f t="shared" ref="Y10:Y22" si="11">I10</f>
        <v/>
      </c>
      <c r="Z10" t="str" vm="105">
        <f t="shared" ref="Z10:Z22" si="12">L10</f>
        <v/>
      </c>
      <c r="AA10" t="str" vm="98">
        <f t="shared" ref="AA10:AA22" si="13">O10</f>
        <v/>
      </c>
    </row>
    <row r="11" spans="2:27" s="23" customFormat="1" ht="24" customHeight="1" x14ac:dyDescent="0.35">
      <c r="B11" s="22" t="str" vm="20">
        <f>CUBEMEMBER("pbiazure://api.powerbi.com a17e9212-e5a8-47c6-999a-02ae22de8953 Model","[Accounts].[Type].&amp;[DirectCosts]")</f>
        <v>DirectCosts</v>
      </c>
      <c r="C11" s="28" t="str" vm="161">
        <f t="shared" si="3"/>
        <v/>
      </c>
      <c r="D11" s="28" t="str" vm="174">
        <f t="shared" si="0"/>
        <v/>
      </c>
      <c r="E11" s="29">
        <f t="shared" si="4"/>
        <v>0</v>
      </c>
      <c r="F11" s="28" t="str" vm="156">
        <f t="shared" si="0"/>
        <v/>
      </c>
      <c r="G11" s="28" t="str" vm="190">
        <f t="shared" si="0"/>
        <v/>
      </c>
      <c r="H11" s="29">
        <f t="shared" si="5"/>
        <v>0</v>
      </c>
      <c r="I11" s="28" t="str" vm="134">
        <f t="shared" si="0"/>
        <v/>
      </c>
      <c r="J11" s="28" vm="123">
        <f t="shared" si="0"/>
        <v>-1527.2310751500004</v>
      </c>
      <c r="K11" s="29">
        <f t="shared" si="6"/>
        <v>1527.2310751500004</v>
      </c>
      <c r="L11" s="28" t="str" vm="117">
        <f t="shared" si="0"/>
        <v/>
      </c>
      <c r="M11" s="28" vm="212">
        <f t="shared" si="0"/>
        <v>-855.24940208400017</v>
      </c>
      <c r="N11" s="29">
        <f t="shared" si="7"/>
        <v>855.24940208400017</v>
      </c>
      <c r="O11" s="28" vm="97">
        <f t="shared" si="0"/>
        <v>-3394.6751009999998</v>
      </c>
      <c r="P11" s="28" vm="82">
        <f t="shared" si="0"/>
        <v>-3734.1426111000001</v>
      </c>
      <c r="Q11" s="29">
        <f t="shared" si="8"/>
        <v>339.46751010000025</v>
      </c>
      <c r="R11" s="29">
        <f t="shared" si="1"/>
        <v>-3394.6751009999998</v>
      </c>
      <c r="S11" s="29">
        <f t="shared" si="2"/>
        <v>-6116.6230883340004</v>
      </c>
      <c r="W11" s="23" t="str" vm="161">
        <f t="shared" si="9"/>
        <v/>
      </c>
      <c r="X11" s="23" t="str" vm="156">
        <f t="shared" si="10"/>
        <v/>
      </c>
      <c r="Y11" s="23" t="str" vm="134">
        <f t="shared" si="11"/>
        <v/>
      </c>
      <c r="Z11" s="23" t="str" vm="117">
        <f t="shared" si="12"/>
        <v/>
      </c>
      <c r="AA11" s="23" vm="97">
        <f t="shared" si="13"/>
        <v>-3394.6751009999998</v>
      </c>
    </row>
    <row r="12" spans="2:27" ht="24" customHeight="1" x14ac:dyDescent="0.35">
      <c r="B12" s="26" t="str" vm="18">
        <f>CUBEMEMBER("pbiazure://api.powerbi.com a17e9212-e5a8-47c6-999a-02ae22de8953 Model",{"[Accounts].[Type].&amp;[DirectCosts]","[Accounts].[Name].&amp;[Cost of Goods Sold]"})</f>
        <v>Cost of Goods Sold</v>
      </c>
      <c r="C12" s="33" t="str" vm="165">
        <f t="shared" si="3"/>
        <v/>
      </c>
      <c r="D12" s="33" t="str" vm="186">
        <f t="shared" si="0"/>
        <v/>
      </c>
      <c r="E12" s="34">
        <f t="shared" si="4"/>
        <v>0</v>
      </c>
      <c r="F12" s="33" t="str" vm="151">
        <f t="shared" si="0"/>
        <v/>
      </c>
      <c r="G12" s="33" t="str" vm="200">
        <f t="shared" si="0"/>
        <v/>
      </c>
      <c r="H12" s="34">
        <f t="shared" si="5"/>
        <v>0</v>
      </c>
      <c r="I12" s="33" t="str" vm="139">
        <f t="shared" si="0"/>
        <v/>
      </c>
      <c r="J12" s="33" vm="119">
        <f t="shared" si="0"/>
        <v>-1527.2310751500004</v>
      </c>
      <c r="K12" s="34">
        <f t="shared" si="6"/>
        <v>1527.2310751500004</v>
      </c>
      <c r="L12" s="33" t="str" vm="111">
        <f t="shared" si="0"/>
        <v/>
      </c>
      <c r="M12" s="33" vm="207">
        <f t="shared" si="0"/>
        <v>-855.24940208400017</v>
      </c>
      <c r="N12" s="34">
        <f t="shared" si="7"/>
        <v>855.24940208400017</v>
      </c>
      <c r="O12" s="33" t="str" vm="91">
        <f t="shared" si="0"/>
        <v/>
      </c>
      <c r="P12" s="33" t="str" vm="84">
        <f t="shared" si="0"/>
        <v/>
      </c>
      <c r="Q12" s="34">
        <f t="shared" si="8"/>
        <v>0</v>
      </c>
      <c r="R12" s="35">
        <f t="shared" si="1"/>
        <v>0</v>
      </c>
      <c r="S12" s="35">
        <f t="shared" si="2"/>
        <v>-2382.4804772340003</v>
      </c>
      <c r="T12" s="20"/>
      <c r="W12" t="str" vm="165">
        <f t="shared" si="9"/>
        <v/>
      </c>
      <c r="X12" t="str" vm="151">
        <f t="shared" si="10"/>
        <v/>
      </c>
      <c r="Y12" t="str" vm="139">
        <f t="shared" si="11"/>
        <v/>
      </c>
      <c r="Z12" t="str" vm="111">
        <f t="shared" si="12"/>
        <v/>
      </c>
      <c r="AA12" t="str" vm="91">
        <f t="shared" si="13"/>
        <v/>
      </c>
    </row>
    <row r="13" spans="2:27" s="23" customFormat="1" ht="24" customHeight="1" x14ac:dyDescent="0.35">
      <c r="B13" s="22" t="str" vm="14">
        <f>CUBEMEMBER("pbiazure://api.powerbi.com a17e9212-e5a8-47c6-999a-02ae22de8953 Model","[Accounts].[Type].&amp;[Expense]")</f>
        <v>Expense</v>
      </c>
      <c r="C13" s="28" t="str" vm="170">
        <f t="shared" si="3"/>
        <v/>
      </c>
      <c r="D13" s="28" vm="179">
        <f t="shared" si="0"/>
        <v>-2020</v>
      </c>
      <c r="E13" s="29">
        <f t="shared" si="4"/>
        <v>2020</v>
      </c>
      <c r="F13" s="28" vm="159">
        <f t="shared" si="0"/>
        <v>-20.891363999999999</v>
      </c>
      <c r="G13" s="28" vm="197">
        <f t="shared" si="0"/>
        <v>-12238.28008260758</v>
      </c>
      <c r="H13" s="29">
        <f t="shared" si="5"/>
        <v>12217.388718607581</v>
      </c>
      <c r="I13" s="28" vm="141">
        <f t="shared" si="0"/>
        <v>-7880.873364</v>
      </c>
      <c r="J13" s="28" vm="126">
        <f t="shared" si="0"/>
        <v>-11725.86642042024</v>
      </c>
      <c r="K13" s="29">
        <f t="shared" si="6"/>
        <v>3844.9930564202396</v>
      </c>
      <c r="L13" s="28" vm="113">
        <f t="shared" si="0"/>
        <v>-16986.508481999997</v>
      </c>
      <c r="M13" s="28" vm="210">
        <f t="shared" si="0"/>
        <v>-20901.018897135138</v>
      </c>
      <c r="N13" s="29">
        <f t="shared" si="7"/>
        <v>3914.5104151351406</v>
      </c>
      <c r="O13" s="28" vm="99">
        <f t="shared" si="0"/>
        <v>-1466.5099540000001</v>
      </c>
      <c r="P13" s="28" vm="79">
        <f t="shared" si="0"/>
        <v>-1613.1609493999999</v>
      </c>
      <c r="Q13" s="29">
        <f t="shared" si="8"/>
        <v>146.65099539999983</v>
      </c>
      <c r="R13" s="29">
        <f t="shared" si="1"/>
        <v>-26354.783164</v>
      </c>
      <c r="S13" s="29">
        <f t="shared" si="2"/>
        <v>-48498.326349562958</v>
      </c>
      <c r="W13" s="23" t="str" vm="170">
        <f t="shared" si="9"/>
        <v/>
      </c>
      <c r="X13" s="23" vm="159">
        <f t="shared" si="10"/>
        <v>-20.891363999999999</v>
      </c>
      <c r="Y13" s="23" vm="141">
        <f t="shared" si="11"/>
        <v>-7880.873364</v>
      </c>
      <c r="Z13" s="23" vm="113">
        <f t="shared" si="12"/>
        <v>-16986.508481999997</v>
      </c>
      <c r="AA13" s="23" vm="99">
        <f t="shared" si="13"/>
        <v>-1466.5099540000001</v>
      </c>
    </row>
    <row r="14" spans="2:27" ht="24" customHeight="1" x14ac:dyDescent="0.35">
      <c r="B14" s="21" t="str" vm="6">
        <f>CUBEMEMBER("pbiazure://api.powerbi.com a17e9212-e5a8-47c6-999a-02ae22de8953 Model",{"[Accounts].[Type].&amp;[Expense]","[Accounts].[Name].&amp;[Consulting &amp; Accounting]"})</f>
        <v>Consulting &amp; Accounting</v>
      </c>
      <c r="C14" s="30" t="str" vm="162">
        <f t="shared" si="3"/>
        <v/>
      </c>
      <c r="D14" s="30" t="str" vm="176">
        <f t="shared" si="0"/>
        <v/>
      </c>
      <c r="E14" s="31">
        <f t="shared" si="4"/>
        <v>0</v>
      </c>
      <c r="F14" s="30" t="str" vm="154">
        <f t="shared" si="0"/>
        <v/>
      </c>
      <c r="G14" s="30" vm="191">
        <f t="shared" si="0"/>
        <v>-29.526467452900004</v>
      </c>
      <c r="H14" s="31">
        <f t="shared" si="5"/>
        <v>29.526467452900004</v>
      </c>
      <c r="I14" s="30" vm="133">
        <f t="shared" si="0"/>
        <v>-38.492167999999999</v>
      </c>
      <c r="J14" s="30" vm="124">
        <f t="shared" si="0"/>
        <v>-71.867852252900008</v>
      </c>
      <c r="K14" s="31">
        <f t="shared" si="6"/>
        <v>33.375684252900008</v>
      </c>
      <c r="L14" s="30" vm="115">
        <f t="shared" si="0"/>
        <v>-40.713182000000003</v>
      </c>
      <c r="M14" s="30" vm="203">
        <f t="shared" si="0"/>
        <v>-74.310967652900018</v>
      </c>
      <c r="N14" s="31">
        <f t="shared" si="7"/>
        <v>33.597785652900015</v>
      </c>
      <c r="O14" s="30" vm="103">
        <f t="shared" si="0"/>
        <v>-40.099556999999997</v>
      </c>
      <c r="P14" s="30" vm="88">
        <f t="shared" si="0"/>
        <v>-44.109512700000003</v>
      </c>
      <c r="Q14" s="31">
        <f t="shared" si="8"/>
        <v>4.0099557000000061</v>
      </c>
      <c r="R14" s="32">
        <f t="shared" si="1"/>
        <v>-119.30490700000001</v>
      </c>
      <c r="S14" s="32">
        <f t="shared" si="2"/>
        <v>-219.81480005870006</v>
      </c>
      <c r="T14" s="20"/>
      <c r="W14" t="str" vm="162">
        <f t="shared" si="9"/>
        <v/>
      </c>
      <c r="X14" t="str" vm="154">
        <f t="shared" si="10"/>
        <v/>
      </c>
      <c r="Y14" vm="133">
        <f t="shared" si="11"/>
        <v>-38.492167999999999</v>
      </c>
      <c r="Z14" vm="115">
        <f t="shared" si="12"/>
        <v>-40.713182000000003</v>
      </c>
      <c r="AA14" vm="103">
        <f t="shared" si="13"/>
        <v>-40.099556999999997</v>
      </c>
    </row>
    <row r="15" spans="2:27" ht="24" customHeight="1" x14ac:dyDescent="0.35">
      <c r="B15" s="3" t="str" vm="4">
        <f>CUBEMEMBER("pbiazure://api.powerbi.com a17e9212-e5a8-47c6-999a-02ae22de8953 Model",{"[Accounts].[Type].&amp;[Expense]","[Accounts].[Name].&amp;[Dues &amp; Subscriptions]"})</f>
        <v>Dues &amp; Subscriptions</v>
      </c>
      <c r="C15" s="36" t="str" vm="168">
        <f t="shared" si="3"/>
        <v/>
      </c>
      <c r="D15" s="36" vm="177">
        <f t="shared" si="0"/>
        <v>-2000</v>
      </c>
      <c r="E15" s="37">
        <f t="shared" si="4"/>
        <v>2000</v>
      </c>
      <c r="F15" s="36" t="str" vm="157">
        <f t="shared" si="0"/>
        <v/>
      </c>
      <c r="G15" s="36" t="str" vm="195">
        <f t="shared" si="0"/>
        <v/>
      </c>
      <c r="H15" s="37">
        <f t="shared" si="5"/>
        <v>0</v>
      </c>
      <c r="I15" s="36" t="str" vm="143">
        <f t="shared" si="0"/>
        <v/>
      </c>
      <c r="J15" s="36" t="str" vm="128">
        <f t="shared" si="0"/>
        <v/>
      </c>
      <c r="K15" s="37">
        <f t="shared" si="6"/>
        <v>0</v>
      </c>
      <c r="L15" s="36" t="str" vm="106">
        <f t="shared" si="0"/>
        <v/>
      </c>
      <c r="M15" s="36" vm="208">
        <f t="shared" si="0"/>
        <v>-15.170495346490002</v>
      </c>
      <c r="N15" s="37">
        <f t="shared" si="7"/>
        <v>15.170495346490002</v>
      </c>
      <c r="O15" s="36" t="str" vm="92">
        <f t="shared" si="0"/>
        <v/>
      </c>
      <c r="P15" s="36" t="str" vm="85">
        <f t="shared" si="0"/>
        <v/>
      </c>
      <c r="Q15" s="37">
        <f t="shared" si="8"/>
        <v>0</v>
      </c>
      <c r="R15" s="29">
        <f t="shared" si="1"/>
        <v>0</v>
      </c>
      <c r="S15" s="29">
        <f t="shared" si="2"/>
        <v>-2015.17049534649</v>
      </c>
      <c r="W15" t="str" vm="168">
        <f t="shared" si="9"/>
        <v/>
      </c>
      <c r="X15" t="str" vm="157">
        <f t="shared" si="10"/>
        <v/>
      </c>
      <c r="Y15" t="str" vm="143">
        <f t="shared" si="11"/>
        <v/>
      </c>
      <c r="Z15" t="str" vm="106">
        <f t="shared" si="12"/>
        <v/>
      </c>
      <c r="AA15" t="str" vm="92">
        <f t="shared" si="13"/>
        <v/>
      </c>
    </row>
    <row r="16" spans="2:27" ht="24" customHeight="1" x14ac:dyDescent="0.35">
      <c r="B16" s="21" t="str" vm="36">
        <f>CUBEMEMBER("pbiazure://api.powerbi.com a17e9212-e5a8-47c6-999a-02ae22de8953 Model",{"[Accounts].[Type].&amp;[Expense]","[Accounts].[Name].&amp;[Entertainment]"})</f>
        <v>Entertainment</v>
      </c>
      <c r="C16" s="30" t="str" vm="169">
        <f t="shared" si="3"/>
        <v/>
      </c>
      <c r="D16" s="30" t="str" vm="180">
        <f t="shared" si="0"/>
        <v/>
      </c>
      <c r="E16" s="31">
        <f t="shared" si="4"/>
        <v>0</v>
      </c>
      <c r="F16" s="30" t="str" vm="147">
        <f t="shared" si="0"/>
        <v/>
      </c>
      <c r="G16" s="30" vm="198">
        <f t="shared" si="0"/>
        <v>-32.173667983160009</v>
      </c>
      <c r="H16" s="31">
        <f t="shared" si="5"/>
        <v>32.173667983160009</v>
      </c>
      <c r="I16" s="30" vm="145">
        <f t="shared" si="0"/>
        <v>-41.943190000000001</v>
      </c>
      <c r="J16" s="30" vm="130">
        <f t="shared" si="0"/>
        <v>-70.776837012420017</v>
      </c>
      <c r="K16" s="31">
        <f t="shared" si="6"/>
        <v>28.833647012420016</v>
      </c>
      <c r="L16" s="30" vm="114">
        <f t="shared" si="0"/>
        <v>-2136.7401359999999</v>
      </c>
      <c r="M16" s="30" vm="209">
        <f t="shared" si="0"/>
        <v>-2350.4141496000002</v>
      </c>
      <c r="N16" s="31">
        <f t="shared" si="7"/>
        <v>213.67401360000031</v>
      </c>
      <c r="O16" s="30" t="str" vm="100">
        <f t="shared" si="0"/>
        <v/>
      </c>
      <c r="P16" s="30" t="str" vm="80">
        <f t="shared" si="0"/>
        <v/>
      </c>
      <c r="Q16" s="31">
        <f t="shared" si="8"/>
        <v>0</v>
      </c>
      <c r="R16" s="32">
        <f t="shared" si="1"/>
        <v>-2178.6833259999999</v>
      </c>
      <c r="S16" s="32">
        <f t="shared" si="2"/>
        <v>-2453.3646545955803</v>
      </c>
      <c r="T16" s="20"/>
      <c r="W16" t="str" vm="169">
        <f t="shared" si="9"/>
        <v/>
      </c>
      <c r="X16" t="str" vm="147">
        <f t="shared" si="10"/>
        <v/>
      </c>
      <c r="Y16" vm="145">
        <f t="shared" si="11"/>
        <v>-41.943190000000001</v>
      </c>
      <c r="Z16" vm="114">
        <f t="shared" si="12"/>
        <v>-2136.7401359999999</v>
      </c>
      <c r="AA16" t="str" vm="100">
        <f t="shared" si="13"/>
        <v/>
      </c>
    </row>
    <row r="17" spans="2:27" ht="24" customHeight="1" x14ac:dyDescent="0.35">
      <c r="B17" s="3" t="str" vm="31">
        <f>CUBEMEMBER("pbiazure://api.powerbi.com a17e9212-e5a8-47c6-999a-02ae22de8953 Model",{"[Accounts].[Type].&amp;[Expense]","[Accounts].[Name].&amp;[General Expenses]"})</f>
        <v>General Expenses</v>
      </c>
      <c r="C17" s="36" t="str" vm="164">
        <f t="shared" si="3"/>
        <v/>
      </c>
      <c r="D17" s="36" t="str" vm="181">
        <f t="shared" si="0"/>
        <v/>
      </c>
      <c r="E17" s="37">
        <f t="shared" si="4"/>
        <v>0</v>
      </c>
      <c r="F17" s="36" t="str" vm="149">
        <f t="shared" si="0"/>
        <v/>
      </c>
      <c r="G17" s="36" vm="189">
        <f t="shared" si="0"/>
        <v>-117.29134657152001</v>
      </c>
      <c r="H17" s="37">
        <f t="shared" si="5"/>
        <v>117.29134657152001</v>
      </c>
      <c r="I17" s="36" vm="142">
        <f t="shared" si="0"/>
        <v>-61.308732999999997</v>
      </c>
      <c r="J17" s="36" vm="131">
        <f t="shared" si="0"/>
        <v>-67.439606300000008</v>
      </c>
      <c r="K17" s="37">
        <f t="shared" si="6"/>
        <v>6.1308733000000117</v>
      </c>
      <c r="L17" s="36" vm="110">
        <f t="shared" si="0"/>
        <v>0</v>
      </c>
      <c r="M17" s="36" vm="213">
        <f t="shared" si="0"/>
        <v>-203.63081002000004</v>
      </c>
      <c r="N17" s="37">
        <f t="shared" si="7"/>
        <v>203.63081002000004</v>
      </c>
      <c r="O17" s="36" vm="93">
        <f t="shared" si="0"/>
        <v>-166.05365</v>
      </c>
      <c r="P17" s="36" vm="78">
        <f t="shared" si="0"/>
        <v>-182.65901500000001</v>
      </c>
      <c r="Q17" s="37">
        <f t="shared" si="8"/>
        <v>16.605365000000006</v>
      </c>
      <c r="R17" s="29">
        <f t="shared" si="1"/>
        <v>-227.36238299999999</v>
      </c>
      <c r="S17" s="29">
        <f t="shared" si="2"/>
        <v>-571.02077789152008</v>
      </c>
      <c r="W17" t="str" vm="164">
        <f t="shared" si="9"/>
        <v/>
      </c>
      <c r="X17" t="str" vm="149">
        <f t="shared" si="10"/>
        <v/>
      </c>
      <c r="Y17" vm="142">
        <f t="shared" si="11"/>
        <v>-61.308732999999997</v>
      </c>
      <c r="Z17" vm="110">
        <f t="shared" si="12"/>
        <v>0</v>
      </c>
      <c r="AA17" vm="93">
        <f t="shared" si="13"/>
        <v>-166.05365</v>
      </c>
    </row>
    <row r="18" spans="2:27" ht="24" customHeight="1" x14ac:dyDescent="0.35">
      <c r="B18" s="21" t="str" vm="17">
        <f>CUBEMEMBER("pbiazure://api.powerbi.com a17e9212-e5a8-47c6-999a-02ae22de8953 Model",{"[Accounts].[Type].&amp;[Expense]","[Accounts].[Name].&amp;[Payroll Tax Expense]"})</f>
        <v>Payroll Tax Expense</v>
      </c>
      <c r="C18" s="30" t="str" vm="171">
        <f t="shared" si="3"/>
        <v/>
      </c>
      <c r="D18" s="30" t="str" vm="183">
        <f t="shared" si="0"/>
        <v/>
      </c>
      <c r="E18" s="31">
        <f t="shared" si="4"/>
        <v>0</v>
      </c>
      <c r="F18" s="30" t="str" vm="152">
        <f t="shared" si="0"/>
        <v/>
      </c>
      <c r="G18" s="30" t="str" vm="192">
        <f t="shared" si="0"/>
        <v/>
      </c>
      <c r="H18" s="31">
        <f t="shared" si="5"/>
        <v>0</v>
      </c>
      <c r="I18" s="30" t="str" vm="144">
        <f t="shared" si="0"/>
        <v/>
      </c>
      <c r="J18" s="30" vm="129">
        <f t="shared" si="0"/>
        <v>-916.33864509000011</v>
      </c>
      <c r="K18" s="31">
        <f t="shared" si="6"/>
        <v>916.33864509000011</v>
      </c>
      <c r="L18" s="30" t="str" vm="112">
        <f t="shared" si="0"/>
        <v/>
      </c>
      <c r="M18" s="30" vm="205">
        <f t="shared" si="0"/>
        <v>-1018.1540501000002</v>
      </c>
      <c r="N18" s="31">
        <f t="shared" si="7"/>
        <v>1018.1540501000002</v>
      </c>
      <c r="O18" s="30" t="str" vm="101">
        <f t="shared" si="0"/>
        <v/>
      </c>
      <c r="P18" s="30" t="str" vm="86">
        <f t="shared" si="0"/>
        <v/>
      </c>
      <c r="Q18" s="31">
        <f t="shared" si="8"/>
        <v>0</v>
      </c>
      <c r="R18" s="32">
        <f t="shared" si="1"/>
        <v>0</v>
      </c>
      <c r="S18" s="32">
        <f t="shared" si="2"/>
        <v>-1934.4926951900002</v>
      </c>
      <c r="T18" s="20"/>
      <c r="W18" t="str" vm="171">
        <f t="shared" si="9"/>
        <v/>
      </c>
      <c r="X18" t="str" vm="152">
        <f t="shared" si="10"/>
        <v/>
      </c>
      <c r="Y18" t="str" vm="144">
        <f t="shared" si="11"/>
        <v/>
      </c>
      <c r="Z18" t="str" vm="112">
        <f t="shared" si="12"/>
        <v/>
      </c>
      <c r="AA18" t="str" vm="101">
        <f t="shared" si="13"/>
        <v/>
      </c>
    </row>
    <row r="19" spans="2:27" ht="24" customHeight="1" x14ac:dyDescent="0.35">
      <c r="B19" s="3" t="str" vm="15">
        <f>CUBEMEMBER("pbiazure://api.powerbi.com a17e9212-e5a8-47c6-999a-02ae22de8953 Model",{"[Accounts].[Type].&amp;[Expense]","[Accounts].[Name].&amp;[Printing &amp; Stationery]"})</f>
        <v>Printing &amp; Stationery</v>
      </c>
      <c r="C19" s="36" t="str" vm="160">
        <f t="shared" si="3"/>
        <v/>
      </c>
      <c r="D19" s="36" vm="175">
        <f t="shared" si="0"/>
        <v>-20</v>
      </c>
      <c r="E19" s="37">
        <f t="shared" si="4"/>
        <v>20</v>
      </c>
      <c r="F19" s="36" t="str" vm="148">
        <f t="shared" si="0"/>
        <v/>
      </c>
      <c r="G19" s="36" t="str" vm="188">
        <f t="shared" si="0"/>
        <v/>
      </c>
      <c r="H19" s="37">
        <f t="shared" si="5"/>
        <v>0</v>
      </c>
      <c r="I19" s="36" vm="136">
        <f t="shared" si="0"/>
        <v>-28.816033000000001</v>
      </c>
      <c r="J19" s="36" vm="120">
        <f t="shared" si="0"/>
        <v>-81.79081556492001</v>
      </c>
      <c r="K19" s="37">
        <f t="shared" si="6"/>
        <v>52.974782564920005</v>
      </c>
      <c r="L19" s="36" vm="116">
        <f t="shared" si="0"/>
        <v>-102.06373600000001</v>
      </c>
      <c r="M19" s="36" vm="211">
        <f t="shared" si="0"/>
        <v>-145.30920852574502</v>
      </c>
      <c r="N19" s="37">
        <f t="shared" si="7"/>
        <v>43.245472525745015</v>
      </c>
      <c r="O19" s="36" t="str" vm="96">
        <f t="shared" si="0"/>
        <v/>
      </c>
      <c r="P19" s="36" t="str" vm="81">
        <f t="shared" si="0"/>
        <v/>
      </c>
      <c r="Q19" s="37">
        <f t="shared" si="8"/>
        <v>0</v>
      </c>
      <c r="R19" s="29">
        <f t="shared" si="1"/>
        <v>-130.87976900000001</v>
      </c>
      <c r="S19" s="29">
        <f t="shared" si="2"/>
        <v>-247.10002409066504</v>
      </c>
      <c r="W19" t="str" vm="160">
        <f t="shared" si="9"/>
        <v/>
      </c>
      <c r="X19" t="str" vm="148">
        <f t="shared" si="10"/>
        <v/>
      </c>
      <c r="Y19" vm="136">
        <f t="shared" si="11"/>
        <v>-28.816033000000001</v>
      </c>
      <c r="Z19" vm="116">
        <f t="shared" si="12"/>
        <v>-102.06373600000001</v>
      </c>
      <c r="AA19" t="str" vm="96">
        <f t="shared" si="13"/>
        <v/>
      </c>
    </row>
    <row r="20" spans="2:27" ht="24" customHeight="1" x14ac:dyDescent="0.35">
      <c r="B20" s="21" t="str" vm="13">
        <f>CUBEMEMBER("pbiazure://api.powerbi.com a17e9212-e5a8-47c6-999a-02ae22de8953 Model",{"[Accounts].[Type].&amp;[Expense]","[Accounts].[Name].&amp;[Rent]"})</f>
        <v>Rent</v>
      </c>
      <c r="C20" s="30" t="str" vm="167">
        <f t="shared" si="3"/>
        <v/>
      </c>
      <c r="D20" s="30" t="str" vm="182">
        <f t="shared" si="0"/>
        <v/>
      </c>
      <c r="E20" s="31">
        <f t="shared" si="4"/>
        <v>0</v>
      </c>
      <c r="F20" s="30" t="str" vm="155">
        <f t="shared" si="0"/>
        <v/>
      </c>
      <c r="G20" s="30" vm="199">
        <f t="shared" si="0"/>
        <v>-12036.3081002</v>
      </c>
      <c r="H20" s="31">
        <f t="shared" si="5"/>
        <v>12036.3081002</v>
      </c>
      <c r="I20" s="30" vm="138">
        <f t="shared" si="0"/>
        <v>-1448.393947</v>
      </c>
      <c r="J20" s="30" vm="127">
        <f t="shared" si="0"/>
        <v>-3629.5414419000008</v>
      </c>
      <c r="K20" s="31">
        <f t="shared" si="6"/>
        <v>2181.1474949000008</v>
      </c>
      <c r="L20" s="30" vm="108">
        <f t="shared" si="0"/>
        <v>-3063.9337340000002</v>
      </c>
      <c r="M20" s="30" vm="204">
        <f t="shared" si="0"/>
        <v>-4286.6657524900002</v>
      </c>
      <c r="N20" s="31">
        <f t="shared" si="7"/>
        <v>1222.73201849</v>
      </c>
      <c r="O20" s="30" vm="94">
        <f t="shared" si="0"/>
        <v>0</v>
      </c>
      <c r="P20" s="30" vm="83">
        <f t="shared" si="0"/>
        <v>0</v>
      </c>
      <c r="Q20" s="31">
        <f t="shared" si="8"/>
        <v>0</v>
      </c>
      <c r="R20" s="32">
        <f t="shared" si="1"/>
        <v>-4512.3276810000007</v>
      </c>
      <c r="S20" s="32">
        <f t="shared" si="2"/>
        <v>-19952.515294590001</v>
      </c>
      <c r="T20" s="20"/>
      <c r="W20" t="str" vm="167">
        <f t="shared" si="9"/>
        <v/>
      </c>
      <c r="X20" t="str" vm="155">
        <f t="shared" si="10"/>
        <v/>
      </c>
      <c r="Y20" vm="138">
        <f t="shared" si="11"/>
        <v>-1448.393947</v>
      </c>
      <c r="Z20" vm="108">
        <f t="shared" si="12"/>
        <v>-3063.9337340000002</v>
      </c>
      <c r="AA20" vm="94">
        <f t="shared" si="13"/>
        <v>0</v>
      </c>
    </row>
    <row r="21" spans="2:27" ht="24" customHeight="1" x14ac:dyDescent="0.35">
      <c r="B21" s="2" t="str" vm="35">
        <f>CUBEMEMBER("pbiazure://api.powerbi.com a17e9212-e5a8-47c6-999a-02ae22de8953 Model","[Accounts].[Type].&amp;[Overheads]")</f>
        <v>Overheads</v>
      </c>
      <c r="C21" s="36" vm="166">
        <f t="shared" si="3"/>
        <v>-190.05472700000001</v>
      </c>
      <c r="D21" s="36" vm="178">
        <f t="shared" si="0"/>
        <v>-200</v>
      </c>
      <c r="E21" s="37">
        <f t="shared" si="4"/>
        <v>9.945272999999986</v>
      </c>
      <c r="F21" s="36" vm="158">
        <f t="shared" si="0"/>
        <v>-189.695156</v>
      </c>
      <c r="G21" s="36" vm="196">
        <f t="shared" si="0"/>
        <v>-208.66467160000002</v>
      </c>
      <c r="H21" s="37">
        <f t="shared" si="5"/>
        <v>18.969515600000022</v>
      </c>
      <c r="I21" s="36" vm="140">
        <f t="shared" si="0"/>
        <v>-2226.1769519999998</v>
      </c>
      <c r="J21" s="36" vm="125">
        <f t="shared" si="0"/>
        <v>-27870.194278199997</v>
      </c>
      <c r="K21" s="37">
        <f t="shared" si="6"/>
        <v>25644.017326199995</v>
      </c>
      <c r="L21" s="36" vm="109">
        <f t="shared" si="0"/>
        <v>-7085.1282930000007</v>
      </c>
      <c r="M21" s="36" vm="214">
        <f t="shared" si="0"/>
        <v>-7793.6411223000005</v>
      </c>
      <c r="N21" s="37">
        <f t="shared" si="7"/>
        <v>708.51282929999979</v>
      </c>
      <c r="O21" s="36" vm="95">
        <f t="shared" si="0"/>
        <v>-14949.127038000008</v>
      </c>
      <c r="P21" s="36" vm="77">
        <f t="shared" si="0"/>
        <v>-31725.904658799998</v>
      </c>
      <c r="Q21" s="37">
        <f t="shared" si="8"/>
        <v>16776.777620799992</v>
      </c>
      <c r="R21" s="29">
        <f t="shared" si="1"/>
        <v>-24640.182166000006</v>
      </c>
      <c r="S21" s="29">
        <f t="shared" si="2"/>
        <v>-67798.404730899987</v>
      </c>
      <c r="W21" vm="166">
        <f t="shared" si="9"/>
        <v>-190.05472700000001</v>
      </c>
      <c r="X21" vm="158">
        <f t="shared" si="10"/>
        <v>-189.695156</v>
      </c>
      <c r="Y21" vm="140">
        <f t="shared" si="11"/>
        <v>-2226.1769519999998</v>
      </c>
      <c r="Z21" vm="109">
        <f t="shared" si="12"/>
        <v>-7085.1282930000007</v>
      </c>
      <c r="AA21" vm="95">
        <f t="shared" si="13"/>
        <v>-14949.127038000008</v>
      </c>
    </row>
    <row r="22" spans="2:27" s="23" customFormat="1" ht="24" customHeight="1" thickBot="1" x14ac:dyDescent="0.4">
      <c r="B22" s="25" t="str" vm="27">
        <f>CUBEMEMBER("pbiazure://api.powerbi.com a17e9212-e5a8-47c6-999a-02ae22de8953 Model","[Accounts].[Type].[All]","EBIT")</f>
        <v>EBIT</v>
      </c>
      <c r="C22" s="38" vm="163">
        <f t="shared" si="3"/>
        <v>596.26344599999993</v>
      </c>
      <c r="D22" s="38" vm="185">
        <f t="shared" si="0"/>
        <v>-1520</v>
      </c>
      <c r="E22" s="39">
        <f t="shared" si="4"/>
        <v>2116.2634459999999</v>
      </c>
      <c r="F22" s="38" vm="150">
        <f t="shared" si="0"/>
        <v>1659.6210719999999</v>
      </c>
      <c r="G22" s="38" vm="194">
        <f t="shared" si="0"/>
        <v>-10576.737162207581</v>
      </c>
      <c r="H22" s="39">
        <f t="shared" si="5"/>
        <v>12236.358234207581</v>
      </c>
      <c r="I22" s="38" vm="135">
        <f t="shared" si="0"/>
        <v>14537.607884000003</v>
      </c>
      <c r="J22" s="38" vm="121">
        <f t="shared" si="0"/>
        <v>-16478.633573770239</v>
      </c>
      <c r="K22" s="39">
        <f t="shared" si="6"/>
        <v>31016.241457770244</v>
      </c>
      <c r="L22" s="38" vm="107">
        <f t="shared" si="0"/>
        <v>-7495.4589579999883</v>
      </c>
      <c r="M22" s="38" vm="206">
        <f t="shared" si="0"/>
        <v>-6038.0443416191292</v>
      </c>
      <c r="N22" s="39">
        <f t="shared" si="7"/>
        <v>-1457.4146163808591</v>
      </c>
      <c r="O22" s="38" vm="102">
        <f t="shared" si="0"/>
        <v>4259.2535739999958</v>
      </c>
      <c r="P22" s="38" vm="87">
        <f t="shared" si="0"/>
        <v>-10596.685985599999</v>
      </c>
      <c r="Q22" s="39">
        <f t="shared" si="8"/>
        <v>14855.939559599996</v>
      </c>
      <c r="R22" s="39">
        <f t="shared" si="1"/>
        <v>13557.28701800001</v>
      </c>
      <c r="S22" s="39">
        <f>N(D22)+N(G22)+N(J22)+N(M22)+N(P22)</f>
        <v>-45210.101063196948</v>
      </c>
      <c r="T22" s="24"/>
      <c r="W22" s="23" vm="163">
        <f t="shared" si="9"/>
        <v>596.26344599999993</v>
      </c>
      <c r="X22" s="23" vm="150">
        <f t="shared" si="10"/>
        <v>1659.6210719999999</v>
      </c>
      <c r="Y22" s="23" vm="135">
        <f t="shared" si="11"/>
        <v>14537.607884000003</v>
      </c>
      <c r="Z22" s="23" vm="107">
        <f t="shared" si="12"/>
        <v>-7495.4589579999883</v>
      </c>
      <c r="AA22" s="23" vm="102">
        <f t="shared" si="13"/>
        <v>4259.2535739999958</v>
      </c>
    </row>
    <row r="23" spans="2:27" ht="15" thickTop="1" x14ac:dyDescent="0.35"/>
  </sheetData>
  <conditionalFormatting sqref="E9:E21 H9:H21 K9:K21 N9:N21 Q9:Q21">
    <cfRule type="iconSet" priority="1">
      <iconSet iconSet="3Arrows">
        <cfvo type="percent" val="0"/>
        <cfvo type="percent" val="33"/>
        <cfvo type="percent" val="67"/>
      </iconSet>
    </cfRule>
  </conditionalFormatting>
  <pageMargins left="0" right="0" top="0" bottom="0" header="0" footer="0"/>
  <pageSetup paperSize="9" orientation="portrait"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displayHidden="1" xr2:uid="{457B91CD-E36D-497D-8D86-F9547389E48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'Chapter 5 Financial Reporting D'!W9:AA9</xm:f>
              <xm:sqref>T9</xm:sqref>
            </x14:sparkline>
            <x14:sparkline>
              <xm:f>'Chapter 5 Financial Reporting D'!W10:AA10</xm:f>
              <xm:sqref>T10</xm:sqref>
            </x14:sparkline>
            <x14:sparkline>
              <xm:f>'Chapter 5 Financial Reporting D'!W11:AA11</xm:f>
              <xm:sqref>T11</xm:sqref>
            </x14:sparkline>
            <x14:sparkline>
              <xm:f>'Chapter 5 Financial Reporting D'!W12:AA12</xm:f>
              <xm:sqref>T12</xm:sqref>
            </x14:sparkline>
            <x14:sparkline>
              <xm:f>'Chapter 5 Financial Reporting D'!W13:AA13</xm:f>
              <xm:sqref>T13</xm:sqref>
            </x14:sparkline>
            <x14:sparkline>
              <xm:f>'Chapter 5 Financial Reporting D'!W14:AA14</xm:f>
              <xm:sqref>T14</xm:sqref>
            </x14:sparkline>
            <x14:sparkline>
              <xm:f>'Chapter 5 Financial Reporting D'!W15:AA15</xm:f>
              <xm:sqref>T15</xm:sqref>
            </x14:sparkline>
            <x14:sparkline>
              <xm:f>'Chapter 5 Financial Reporting D'!W16:AA16</xm:f>
              <xm:sqref>T16</xm:sqref>
            </x14:sparkline>
            <x14:sparkline>
              <xm:f>'Chapter 5 Financial Reporting D'!W17:AA17</xm:f>
              <xm:sqref>T17</xm:sqref>
            </x14:sparkline>
            <x14:sparkline>
              <xm:f>'Chapter 5 Financial Reporting D'!W18:AA18</xm:f>
              <xm:sqref>T18</xm:sqref>
            </x14:sparkline>
            <x14:sparkline>
              <xm:f>'Chapter 5 Financial Reporting D'!W19:AA19</xm:f>
              <xm:sqref>T19</xm:sqref>
            </x14:sparkline>
            <x14:sparkline>
              <xm:f>'Chapter 5 Financial Reporting D'!W20:AA20</xm:f>
              <xm:sqref>T20</xm:sqref>
            </x14:sparkline>
            <x14:sparkline>
              <xm:f>'Chapter 5 Financial Reporting D'!W21:AA21</xm:f>
              <xm:sqref>T21</xm:sqref>
            </x14:sparkline>
            <x14:sparkline>
              <xm:f>'Chapter 5 Financial Reporting D'!W22:AA22</xm:f>
              <xm:sqref>T22</xm:sqref>
            </x14:sparkline>
          </x14:sparklines>
        </x14:sparklineGroup>
      </x14:sparklineGroup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d600d830-02b7-4304-9d00-c65e45ea774a">
      <Terms xmlns="http://schemas.microsoft.com/office/infopath/2007/PartnerControls"/>
    </lcf76f155ced4ddcb4097134ff3c332f>
    <TaxCatchAll xmlns="ea38a74f-8d13-458c-a5b2-18417925a92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AA6C36794E6F439739FC3F8DED9936" ma:contentTypeVersion="21" ma:contentTypeDescription="Create a new document." ma:contentTypeScope="" ma:versionID="9f24febc2c759e7b5e2929fa0c3ae85d">
  <xsd:schema xmlns:xsd="http://www.w3.org/2001/XMLSchema" xmlns:xs="http://www.w3.org/2001/XMLSchema" xmlns:p="http://schemas.microsoft.com/office/2006/metadata/properties" xmlns:ns1="http://schemas.microsoft.com/sharepoint/v3" xmlns:ns2="d600d830-02b7-4304-9d00-c65e45ea774a" xmlns:ns3="ea38a74f-8d13-458c-a5b2-18417925a926" targetNamespace="http://schemas.microsoft.com/office/2006/metadata/properties" ma:root="true" ma:fieldsID="7d874c77334f10df52786102df0f0efa" ns1:_="" ns2:_="" ns3:_="">
    <xsd:import namespace="http://schemas.microsoft.com/sharepoint/v3"/>
    <xsd:import namespace="d600d830-02b7-4304-9d00-c65e45ea774a"/>
    <xsd:import namespace="ea38a74f-8d13-458c-a5b2-18417925a9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EventHashCode" minOccurs="0"/>
                <xsd:element ref="ns2:MediaServiceGenerationTime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1:_ip_UnifiedCompliancePolicyProperties" minOccurs="0"/>
                <xsd:element ref="ns1:_ip_UnifiedCompliancePolicyUIAc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00d830-02b7-4304-9d00-c65e45ea77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MediaServiceAutoTags" ma:internalName="MediaServiceAutoTags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9b45c380-688e-4e94-a4fd-6f6a30561a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38a74f-8d13-458c-a5b2-18417925a92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7a633c06-b266-44eb-ac7a-efb7543a7e0b}" ma:internalName="TaxCatchAll" ma:showField="CatchAllData" ma:web="ea38a74f-8d13-458c-a5b2-18417925a9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316044E-ABCE-4FB4-817A-E03B16F5CF0F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d600d830-02b7-4304-9d00-c65e45ea774a"/>
    <ds:schemaRef ds:uri="ea38a74f-8d13-458c-a5b2-18417925a926"/>
  </ds:schemaRefs>
</ds:datastoreItem>
</file>

<file path=customXml/itemProps2.xml><?xml version="1.0" encoding="utf-8"?>
<ds:datastoreItem xmlns:ds="http://schemas.openxmlformats.org/officeDocument/2006/customXml" ds:itemID="{D52EEB6C-FC92-4DD7-959C-D8EFA80018E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600d830-02b7-4304-9d00-c65e45ea774a"/>
    <ds:schemaRef ds:uri="ea38a74f-8d13-458c-a5b2-18417925a92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5073952-479F-4C9E-AF2B-0DB882056DE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Chapter 5 Financial Reporti (2)</vt:lpstr>
      <vt:lpstr>Chapter 5 Scenario P</vt:lpstr>
      <vt:lpstr>Chapter 5 Scenario F</vt:lpstr>
      <vt:lpstr>Chapter 5 Time P</vt:lpstr>
      <vt:lpstr>Chapter 5 Time P (2)</vt:lpstr>
      <vt:lpstr>Chapter 5 Financial Reporting D</vt:lpstr>
      <vt:lpstr>Actuals</vt:lpstr>
      <vt:lpstr>ActualsAll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Martin Kratky</cp:lastModifiedBy>
  <cp:revision/>
  <dcterms:created xsi:type="dcterms:W3CDTF">2023-01-08T07:32:06Z</dcterms:created>
  <dcterms:modified xsi:type="dcterms:W3CDTF">2025-10-26T00:07:17Z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0x01010077AA6C36794E6F439739FC3F8DED9936</vt:lpwstr>
  </property>
  <property fmtid="{D5CDD505-2E9C-101B-9397-08002B2CF9AE}" pid="3" name="MediaServiceImageTags">
    <vt:lpwstr/>
  </property>
</Properties>
</file>